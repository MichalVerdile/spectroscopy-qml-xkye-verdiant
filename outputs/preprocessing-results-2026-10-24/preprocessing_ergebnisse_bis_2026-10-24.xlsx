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df8b765b9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e Resultate" sheetId="1" r:id="R2985b1e7d8cb4245"/>
    <x:sheet xmlns:r="http://schemas.openxmlformats.org/officeDocument/2006/relationships" name="Übersicht" sheetId="2" r:id="R4ac2fd930b7b49e3"/>
    <x:sheet xmlns:r="http://schemas.openxmlformats.org/officeDocument/2006/relationships" name="Modell x Spektrum" sheetId="3" r:id="R02ea625958874faa"/>
    <x:sheet xmlns:r="http://schemas.openxmlformats.org/officeDocument/2006/relationships" name="Run-Status" sheetId="4" r:id="Ra07cff8e761d46d0"/>
    <x:sheet xmlns:r="http://schemas.openxmlformats.org/officeDocument/2006/relationships" name="Methodik" sheetId="5" r:id="R4d2f7ad07bca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"/>
  </x:numFmts>
  <x:fonts count="9">
    <x:font>
      <x:sz val="11"/>
      <x:name val="Carlito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6"/>
      <x:color rgb="FF17365D"/>
      <x:name val="Arial"/>
    </x:font>
    <x:font>
      <x:i/>
      <x:sz val="10"/>
      <x:color rgb="FF5B6573"/>
      <x:name val="Arial"/>
    </x:font>
    <x:font>
      <x:i/>
      <x:sz val="10"/>
      <x:color rgb="FF1F2937"/>
      <x:name val="Arial"/>
    </x:font>
    <x:font>
      <x:b/>
      <x:sz val="12"/>
      <x:color rgb="FF17365D"/>
      <x:name val="Arial"/>
    </x:font>
    <x:font>
      <x:b/>
      <x:sz val="10"/>
      <x:color rgb="FF17365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6">
    <x:border>
      <x:left/>
      <x:right/>
      <x:top/>
      <x:bottom/>
      <x:diagonal/>
    </x:border>
    <x:border>
      <x:left/>
      <x:right style="thin">
        <x:color rgb="FFFFFFFF"/>
      </x:right>
      <x:top/>
      <x:bottom style="medium">
        <x:color rgb="FF17365D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17365D"/>
      </x:bottom>
      <x:diagonal/>
    </x:border>
    <x:border>
      <x:left style="thin">
        <x:color rgb="FFFFFFFF"/>
      </x:left>
      <x:right/>
      <x:top/>
      <x:bottom style="medium">
        <x:color rgb="FF17365D"/>
      </x:bottom>
      <x:diagonal/>
    </x:border>
    <x:border>
      <x:left/>
      <x:right/>
      <x:top/>
      <x:bottom style="thin">
        <x:color rgb="FFAAB7C4"/>
      </x:bottom>
      <x:diagonal/>
    </x:border>
    <x:border>
      <x:left/>
      <x:right/>
      <x:top/>
      <x:bottom style="thin">
        <x:color rgb="FFD9E1E8"/>
      </x:bottom>
      <x:diagonal/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4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2" fontId="0" fillId="3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0" borderId="4" xfId="0" applyNumberFormat="1" applyFont="1" applyFill="1" applyBorder="1"/>
    <x:xf numFmtId="202" fontId="3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2" fontId="3" fillId="0" borderId="0" xfId="0" applyNumberFormat="1" applyFont="1" applyFill="1" applyBorder="1"/>
    <x:xf numFmtId="202" fontId="3" fillId="0" borderId="5" xfId="0" applyNumberFormat="1" applyFont="1" applyFill="1" applyBorder="1"/>
    <x:xf numFmtId="0" fontId="3" fillId="0" borderId="5" xfId="0" applyNumberFormat="1" applyFont="1" applyFill="1" applyBorder="1"/>
    <x:xf numFmtId="200" fontId="3" fillId="0" borderId="5" xfId="0" applyNumberFormat="1" applyFont="1" applyFill="1" applyBorder="1"/>
    <x:xf numFmtId="0" fontId="3" fillId="4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5" xfId="0" applyNumberFormat="1" applyFont="1" applyFill="1" applyBorder="1"/>
    <x:xf numFmtId="0" fontId="0" fillId="5" borderId="5" xfId="0" applyNumberFormat="1" applyFont="1" applyFill="1" applyBorder="1"/>
    <x:xf numFmtId="200" fontId="3" fillId="5" borderId="0" xfId="0" applyNumberFormat="1" applyFont="1" applyFill="1" applyBorder="1"/>
    <x:xf numFmtId="0" fontId="3" fillId="5" borderId="0" xfId="0" applyNumberFormat="1" applyFont="1" applyFill="1" applyBorder="1"/>
    <x:xf numFmtId="200" fontId="3" fillId="5" borderId="5" xfId="0" applyNumberFormat="1" applyFont="1" applyFill="1" applyBorder="1"/>
    <x:xf numFmtId="0" fontId="3" fillId="5" borderId="5" xfId="0" applyNumberFormat="1" applyFont="1" applyFill="1" applyBorder="1"/>
    <x:xf numFmtId="20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200" fontId="3" fillId="5" borderId="5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6" borderId="0" xfId="0" applyNumberFormat="1" applyFont="1" applyFill="1" applyBorder="1"/>
    <x:xf numFmtId="0" fontId="3" fillId="7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e622aec294177" /><Relationship Type="http://schemas.openxmlformats.org/officeDocument/2006/relationships/theme" Target="/xl/theme/theme1.xml" Id="R8fa37212888542e5" /><Relationship Type="http://schemas.openxmlformats.org/officeDocument/2006/relationships/sharedStrings" Target="/xl/sharedStrings.xml" Id="R57d899a4026a4608" /><Relationship Type="http://schemas.openxmlformats.org/officeDocument/2006/relationships/worksheet" Target="/xl/worksheets/sheet1.xml" Id="R2985b1e7d8cb4245" /><Relationship Type="http://schemas.openxmlformats.org/officeDocument/2006/relationships/worksheet" Target="/xl/worksheets/sheet2.xml" Id="R4ac2fd930b7b49e3" /><Relationship Type="http://schemas.openxmlformats.org/officeDocument/2006/relationships/worksheet" Target="/xl/worksheets/sheet3.xml" Id="R02ea625958874faa" /><Relationship Type="http://schemas.openxmlformats.org/officeDocument/2006/relationships/worksheet" Target="/xl/worksheets/sheet4.xml" Id="Ra07cff8e761d46d0" /><Relationship Type="http://schemas.openxmlformats.org/officeDocument/2006/relationships/worksheet" Target="/xl/worksheets/sheet5.xml" Id="R4d2f7ad07bca42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a58e3a9f1345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Durchschnittliche Validation-F1-Werte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 micro</c:v>
          </c:tx>
          <c:spPr>
            <a:solidFill xmlns:a="http://schemas.openxmlformats.org/drawingml/2006/main">
              <a:srgbClr val="5B9BD5"/>
            </a:solidFill>
          </c:spPr>
          <c:invertIfNegative val="0"/>
          <c:cat>
            <c:strRef>
              <c:f>'Übersicht'!$J$7:$J$14</c:f>
              <c:strCache>
                <c:ptCount val="0"/>
              </c:strCache>
            </c:strRef>
          </c:cat>
          <c:val>
            <c:numRef>
              <c:f>'Übersicht'!$K$7:$K$14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Val macro</c:v>
          </c:tx>
          <c:spPr>
            <a:solidFill xmlns:a="http://schemas.openxmlformats.org/drawingml/2006/main">
              <a:srgbClr val="ED7D31"/>
            </a:solidFill>
          </c:spPr>
          <c:invertIfNegative val="0"/>
          <c:cat>
            <c:strRef>
              <c:f>'Übersicht'!$J$7:$J$14</c:f>
              <c:strCache>
                <c:ptCount val="0"/>
              </c:strCache>
            </c:strRef>
          </c:cat>
          <c:val>
            <c:numRef>
              <c:f>'Übersicht'!$L$7:$L$14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Val blend</c:v>
          </c:tx>
          <c:spPr>
            <a:solidFill xmlns:a="http://schemas.openxmlformats.org/drawingml/2006/main">
              <a:srgbClr val="70AD47"/>
            </a:solidFill>
          </c:spPr>
          <c:invertIfNegative val="0"/>
          <c:cat>
            <c:strRef>
              <c:f>'Übersicht'!$J$7:$J$14</c:f>
              <c:strCache>
                <c:ptCount val="0"/>
              </c:strCache>
            </c:strRef>
          </c:cat>
          <c:val>
            <c:numRef>
              <c:f>'Übersicht'!$M$7:$M$14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15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a58e3a9f1345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ResultsTable" displayName="AllResultsTable" ref="A1:Z161" headerRowCount="1" totalsRowCount="0" totalsRowShown="0">
  <x:tableColumns count="26">
    <x:tableColumn id="1" name="Preprocessing"/>
    <x:tableColumn id="2" name="Spektrum"/>
    <x:tableColumn id="3" name="ML-Modell"/>
    <x:tableColumn id="4" name="Seed"/>
    <x:tableColumn id="5" name="Input-Dimension"/>
    <x:tableColumn id="6" name="Train n"/>
    <x:tableColumn id="7" name="Validation n"/>
    <x:tableColumn id="8" name="Test n"/>
    <x:tableColumn id="9" name="Val F1 micro"/>
    <x:tableColumn id="10" name="Val F1 macro"/>
    <x:tableColumn id="11" name="Val F1 blend"/>
    <x:tableColumn id="12" name="Val Loss"/>
    <x:tableColumn id="13" name="Test F1 micro"/>
    <x:tableColumn id="14" name="Test F1 macro"/>
    <x:tableColumn id="15" name="Test F1 blend"/>
    <x:tableColumn id="16" name="Test Loss"/>
    <x:tableColumn id="17" name="Test Accuracy"/>
    <x:tableColumn id="18" name="Test F1 weighted"/>
    <x:tableColumn id="19" name="Test Precision micro"/>
    <x:tableColumn id="20" name="Test Precision macro"/>
    <x:tableColumn id="21" name="Test Recall micro"/>
    <x:tableColumn id="22" name="Test Recall macro"/>
    <x:tableColumn id="23" name="Best Epoch"/>
    <x:tableColumn id="24" name="Epochen gelaufen"/>
    <x:tableColumn id="25" name="Trainingszeit (min)"/>
    <x:tableColumn id="26" name="Quelldate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nStatusTable" displayName="RunStatusTable" ref="A6:G24" headerRowCount="1" totalsRowCount="0" totalsRowShown="0">
  <x:tableColumns count="7">
    <x:tableColumn id="1" name="Preprocessing"/>
    <x:tableColumn id="2" name="Resultate"/>
    <x:tableColumn id="3" name="Status"/>
    <x:tableColumn id="4" name="Job-ID"/>
    <x:tableColumn id="5" name="Node"/>
    <x:tableColumn id="6" name="SLURM"/>
    <x:tableColumn id="7" name="Gru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1d495218c640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1ee5aa5ad2049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9f909b689ab494f" /></Relationships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6.21999979019165" hidden="0" customWidth="1"/>
    <x:col min="5" max="5" width="14.4399995803833" hidden="0" customWidth="1"/>
    <x:col min="6" max="6" width="7.559999942779541" hidden="0" customWidth="1"/>
    <x:col min="7" max="7" width="11" hidden="0" customWidth="1"/>
    <x:col min="8" max="8" width="7" hidden="0" customWidth="1"/>
    <x:col min="9" max="9" width="11.4399995803833" hidden="0" customWidth="1"/>
    <x:col min="10" max="10" width="11.890000343322754" hidden="0" customWidth="1"/>
    <x:col min="11" max="11" width="11.329999923706055" hidden="0" customWidth="1"/>
    <x:col min="12" max="12" width="8.779999732971191" hidden="0" customWidth="1"/>
    <x:col min="13" max="13" width="12.220000267028809" hidden="0" customWidth="1"/>
    <x:col min="14" max="14" width="12.670000076293945" hidden="0" customWidth="1"/>
    <x:col min="15" max="15" width="12.109999656677246" hidden="0" customWidth="1"/>
    <x:col min="16" max="16" width="9.5600004196167" hidden="0" customWidth="1"/>
    <x:col min="17" max="17" width="12.779999732971191" hidden="0" customWidth="1"/>
    <x:col min="18" max="18" width="14.670000076293945" hidden="0" customWidth="1"/>
    <x:col min="19" max="19" width="17.219999313354492" hidden="0" customWidth="1"/>
    <x:col min="20" max="20" width="17.559999465942383" hidden="0" customWidth="1"/>
    <x:col min="21" max="21" width="14.890000343322754" hidden="0" customWidth="1"/>
    <x:col min="22" max="22" width="15.329999923706055" hidden="0" customWidth="1"/>
    <x:col min="23" max="23" width="10.890000343322754" hidden="0" customWidth="1"/>
    <x:col min="24" max="24" width="15.4399995803833" hidden="0" customWidth="1"/>
    <x:col min="25" max="25" width="15.779999732971191" hidden="0" customWidth="1"/>
    <x:col min="26" max="26" width="52" hidden="0" customWidth="1"/>
  </x:cols>
  <x:sheetData>
    <x:row r="1" ht="32" customHeight="1">
      <x:c r="A1" s="17" t="str">
        <x:v>Preprocessing</x:v>
      </x:c>
      <x:c r="B1" s="18" t="str">
        <x:v>Spektrum</x:v>
      </x:c>
      <x:c r="C1" s="18" t="str">
        <x:v>ML-Modell</x:v>
      </x:c>
      <x:c r="D1" s="18" t="str">
        <x:v>Seed</x:v>
      </x:c>
      <x:c r="E1" s="18" t="str">
        <x:v>Input-Dimension</x:v>
      </x:c>
      <x:c r="F1" s="18" t="str">
        <x:v>Train n</x:v>
      </x:c>
      <x:c r="G1" s="18" t="str">
        <x:v>Validation n</x:v>
      </x:c>
      <x:c r="H1" s="18" t="str">
        <x:v>Test n</x:v>
      </x:c>
      <x:c r="I1" s="18" t="str">
        <x:v>Val F1 micro</x:v>
      </x:c>
      <x:c r="J1" s="18" t="str">
        <x:v>Val F1 macro</x:v>
      </x:c>
      <x:c r="K1" s="18" t="str">
        <x:v>Val F1 blend</x:v>
      </x:c>
      <x:c r="L1" s="18" t="str">
        <x:v>Val Loss</x:v>
      </x:c>
      <x:c r="M1" s="18" t="str">
        <x:v>Test F1 micro</x:v>
      </x:c>
      <x:c r="N1" s="18" t="str">
        <x:v>Test F1 macro</x:v>
      </x:c>
      <x:c r="O1" s="18" t="str">
        <x:v>Test F1 blend</x:v>
      </x:c>
      <x:c r="P1" s="18" t="str">
        <x:v>Test Loss</x:v>
      </x:c>
      <x:c r="Q1" s="18" t="str">
        <x:v>Test Accuracy</x:v>
      </x:c>
      <x:c r="R1" s="18" t="str">
        <x:v>Test F1 weighted</x:v>
      </x:c>
      <x:c r="S1" s="18" t="str">
        <x:v>Test Precision micro</x:v>
      </x:c>
      <x:c r="T1" s="18" t="str">
        <x:v>Test Precision macro</x:v>
      </x:c>
      <x:c r="U1" s="18" t="str">
        <x:v>Test Recall micro</x:v>
      </x:c>
      <x:c r="V1" s="18" t="str">
        <x:v>Test Recall macro</x:v>
      </x:c>
      <x:c r="W1" s="18" t="str">
        <x:v>Best Epoch</x:v>
      </x:c>
      <x:c r="X1" s="18" t="str">
        <x:v>Epochen gelaufen</x:v>
      </x:c>
      <x:c r="Y1" s="18" t="str">
        <x:v>Trainingszeit (min)</x:v>
      </x:c>
      <x:c r="Z1" s="19" t="str">
        <x:v>Quelldatei</x:v>
      </x:c>
    </x:row>
    <x:row r="2">
      <x:c r="A2" s="23" t="str">
        <x:v>area</x:v>
      </x:c>
      <x:c r="B2" s="23" t="str">
        <x:v>cnmr</x:v>
      </x:c>
      <x:c r="C2" s="23" t="str">
        <x:v>cnn</x:v>
      </x:c>
      <x:c r="D2" s="23" t="n">
        <x:v>41</x:v>
      </x:c>
      <x:c r="E2" s="23" t="n">
        <x:v>600</x:v>
      </x:c>
      <x:c r="F2" s="23" t="n">
        <x:v>635496</x:v>
      </x:c>
      <x:c r="G2" s="23" t="n">
        <x:v>79450</x:v>
      </x:c>
      <x:c r="H2" s="23" t="n">
        <x:v>79457</x:v>
      </x:c>
      <x:c r="I2" s="24" t="n">
        <x:v>0.6519944979367263</x:v>
      </x:c>
      <x:c r="J2" s="24" t="n">
        <x:v>0.12860998768808338</x:v>
      </x:c>
      <x:c r="K2" s="24" t="n">
        <x:v>0.39030224281240483</x:v>
      </x:c>
      <x:c r="L2" s="24" t="n">
        <x:v>0.24915635585784912</x:v>
      </x:c>
      <x:c r="M2" s="24" t="n">
        <x:v>0.6513016541143611</x:v>
      </x:c>
      <x:c r="N2" s="24" t="n">
        <x:v>0.13022040588642367</x:v>
      </x:c>
      <x:c r="O2" s="24" t="n">
        <x:v>0.3907610300003924</x:v>
      </x:c>
      <x:c r="P2" s="24"/>
      <x:c r="Q2" s="24"/>
      <x:c r="R2" s="24"/>
      <x:c r="S2" s="24"/>
      <x:c r="T2" s="24"/>
      <x:c r="U2" s="24"/>
      <x:c r="V2" s="24"/>
      <x:c r="W2" s="23" t="n">
        <x:v>41</x:v>
      </x:c>
      <x:c r="X2" s="23" t="n">
        <x:v>56</x:v>
      </x:c>
      <x:c r="Y2" s="25" t="n">
        <x:v>43.00831111811761</x:v>
      </x:c>
      <x:c r="Z2" s="23" t="str">
        <x:v>benchmark/preprocessing_training/dim_600/area/cnmr/seed_41/cnn/cnmr/original/metrics.json</x:v>
      </x:c>
    </x:row>
    <x:row r="3">
      <x:c r="A3" s="23" t="str">
        <x:v>area</x:v>
      </x:c>
      <x:c r="B3" s="23" t="str">
        <x:v>cnmr</x:v>
      </x:c>
      <x:c r="C3" s="23" t="str">
        <x:v>mps</x:v>
      </x:c>
      <x:c r="D3" s="23" t="n">
        <x:v>41</x:v>
      </x:c>
      <x:c r="E3" s="23" t="n">
        <x:v>600</x:v>
      </x:c>
      <x:c r="F3" s="23"/>
      <x:c r="G3" s="23"/>
      <x:c r="H3" s="23"/>
      <x:c r="I3" s="24" t="n">
        <x:v>0.6615</x:v>
      </x:c>
      <x:c r="J3" s="24" t="n">
        <x:v>0.3463</x:v>
      </x:c>
      <x:c r="K3" s="24" t="n">
        <x:v>0.5039</x:v>
      </x:c>
      <x:c r="L3" s="24" t="n">
        <x:v>10.9712</x:v>
      </x:c>
      <x:c r="M3" s="24" t="n">
        <x:v>0.6628918397265687</x:v>
      </x:c>
      <x:c r="N3" s="24" t="n">
        <x:v>0.33619789125777555</x:v>
      </x:c>
      <x:c r="O3" s="24" t="n">
        <x:v>0.49954486549217214</x:v>
      </x:c>
      <x:c r="P3" s="24" t="n">
        <x:v>11.2509</x:v>
      </x:c>
      <x:c r="Q3" s="24" t="n">
        <x:v>0.0413</x:v>
      </x:c>
      <x:c r="R3" s="24" t="n">
        <x:v>0.6931</x:v>
      </x:c>
      <x:c r="S3" s="24" t="n">
        <x:v>0.6125</x:v>
      </x:c>
      <x:c r="T3" s="24" t="n">
        <x:v>0.3122</x:v>
      </x:c>
      <x:c r="U3" s="24" t="n">
        <x:v>0.7224</x:v>
      </x:c>
      <x:c r="V3" s="24" t="n">
        <x:v>0.378</x:v>
      </x:c>
      <x:c r="W3" s="23" t="n">
        <x:v>130</x:v>
      </x:c>
      <x:c r="X3" s="23" t="n">
        <x:v>140</x:v>
      </x:c>
      <x:c r="Y3" s="25" t="n">
        <x:v>246.9</x:v>
      </x:c>
      <x:c r="Z3" s="23" t="str">
        <x:v>benchmark/preprocessing_training/dim_600/area/cnmr/seed_41/mps/results/metrics.json</x:v>
      </x:c>
    </x:row>
    <x:row r="4">
      <x:c r="A4" s="23" t="str">
        <x:v>area</x:v>
      </x:c>
      <x:c r="B4" s="23" t="str">
        <x:v>cnmr</x:v>
      </x:c>
      <x:c r="C4" s="23" t="str">
        <x:v>ttn</x:v>
      </x:c>
      <x:c r="D4" s="23" t="n">
        <x:v>41</x:v>
      </x:c>
      <x:c r="E4" s="23" t="n">
        <x:v>600</x:v>
      </x:c>
      <x:c r="F4" s="23"/>
      <x:c r="G4" s="23"/>
      <x:c r="H4" s="23"/>
      <x:c r="I4" s="24" t="n">
        <x:v>0.7150291547695722</x:v>
      </x:c>
      <x:c r="J4" s="24" t="n">
        <x:v>0.33705031391098583</x:v>
      </x:c>
      <x:c r="K4" s="24" t="n">
        <x:v>0.526039734340279</x:v>
      </x:c>
      <x:c r="L4" s="24" t="n">
        <x:v>0.330561</x:v>
      </x:c>
      <x:c r="M4" s="24" t="n">
        <x:v>0.7163163803853788</x:v>
      </x:c>
      <x:c r="N4" s="24" t="n">
        <x:v>0.33274847221319664</x:v>
      </x:c>
      <x:c r="O4" s="24" t="n">
        <x:v>0.5245324262992878</x:v>
      </x:c>
      <x:c r="P4" s="24" t="n">
        <x:v>0.330102</x:v>
      </x:c>
      <x:c r="Q4" s="24"/>
      <x:c r="R4" s="24"/>
      <x:c r="S4" s="24" t="n">
        <x:v>0.719249</x:v>
      </x:c>
      <x:c r="T4" s="24"/>
      <x:c r="U4" s="24" t="n">
        <x:v>0.713408</x:v>
      </x:c>
      <x:c r="V4" s="24"/>
      <x:c r="W4" s="23" t="n">
        <x:v>46</x:v>
      </x:c>
      <x:c r="X4" s="23" t="n">
        <x:v>66</x:v>
      </x:c>
      <x:c r="Y4" s="25" t="n">
        <x:v>20.148333333333333</x:v>
      </x:c>
      <x:c r="Z4" s="23" t="str">
        <x:v>benchmark/preprocessing_training/dim_600/area/cnmr/seed_41/ttn/metrics.json</x:v>
      </x:c>
    </x:row>
    <x:row r="5">
      <x:c r="A5" s="23" t="str">
        <x:v>area</x:v>
      </x:c>
      <x:c r="B5" s="23" t="str">
        <x:v>cnmr</x:v>
      </x:c>
      <x:c r="C5" s="23" t="str">
        <x:v>xgboost</x:v>
      </x:c>
      <x:c r="D5" s="23" t="n">
        <x:v>41</x:v>
      </x:c>
      <x:c r="E5" s="23" t="n">
        <x:v>600</x:v>
      </x:c>
      <x:c r="F5" s="23" t="n">
        <x:v>635496</x:v>
      </x:c>
      <x:c r="G5" s="23" t="n">
        <x:v>79450</x:v>
      </x:c>
      <x:c r="H5" s="23" t="n">
        <x:v>79457</x:v>
      </x:c>
      <x:c r="I5" s="24" t="n">
        <x:v>0.7749245176807738</x:v>
      </x:c>
      <x:c r="J5" s="24" t="n">
        <x:v>0.36124692687489984</x:v>
      </x:c>
      <x:c r="K5" s="24" t="n">
        <x:v>0.5680857222778368</x:v>
      </x:c>
      <x:c r="L5" s="24"/>
      <x:c r="M5" s="24" t="n">
        <x:v>0.7746832630123127</x:v>
      </x:c>
      <x:c r="N5" s="24" t="n">
        <x:v>0.3504437628347742</x:v>
      </x:c>
      <x:c r="O5" s="24" t="n">
        <x:v>0.5625635129235435</x:v>
      </x:c>
      <x:c r="P5" s="24"/>
      <x:c r="Q5" s="24"/>
      <x:c r="R5" s="24"/>
      <x:c r="S5" s="24"/>
      <x:c r="T5" s="24"/>
      <x:c r="U5" s="24"/>
      <x:c r="V5" s="24"/>
      <x:c r="W5" s="23"/>
      <x:c r="X5" s="23"/>
      <x:c r="Y5" s="25" t="n">
        <x:v>5.495309590699617</x:v>
      </x:c>
      <x:c r="Z5" s="23" t="str">
        <x:v>benchmark/preprocessing_training/dim_600/area/cnmr/seed_41/xgboost/cnmr/original/metrics.json</x:v>
      </x:c>
    </x:row>
    <x:row r="6">
      <x:c r="A6" s="23" t="str">
        <x:v>area</x:v>
      </x:c>
      <x:c r="B6" s="23" t="str">
        <x:v>hnmr</x:v>
      </x:c>
      <x:c r="C6" s="23" t="str">
        <x:v>cnn</x:v>
      </x:c>
      <x:c r="D6" s="23" t="n">
        <x:v>41</x:v>
      </x:c>
      <x:c r="E6" s="23" t="n">
        <x:v>600</x:v>
      </x:c>
      <x:c r="F6" s="23" t="n">
        <x:v>635496</x:v>
      </x:c>
      <x:c r="G6" s="23" t="n">
        <x:v>79450</x:v>
      </x:c>
      <x:c r="H6" s="23" t="n">
        <x:v>79457</x:v>
      </x:c>
      <x:c r="I6" s="24" t="n">
        <x:v>0.679985448459219</x:v>
      </x:c>
      <x:c r="J6" s="24" t="n">
        <x:v>0.16067763535684146</x:v>
      </x:c>
      <x:c r="K6" s="24" t="n">
        <x:v>0.42033154190803024</x:v>
      </x:c>
      <x:c r="L6" s="24" t="n">
        <x:v>0.20102310180664062</x:v>
      </x:c>
      <x:c r="M6" s="24" t="n">
        <x:v>0.6798734862089607</x:v>
      </x:c>
      <x:c r="N6" s="24" t="n">
        <x:v>0.15910862706988382</x:v>
      </x:c>
      <x:c r="O6" s="24" t="n">
        <x:v>0.41949105663942227</x:v>
      </x:c>
      <x:c r="P6" s="24"/>
      <x:c r="Q6" s="24"/>
      <x:c r="R6" s="24"/>
      <x:c r="S6" s="24"/>
      <x:c r="T6" s="24"/>
      <x:c r="U6" s="24"/>
      <x:c r="V6" s="24"/>
      <x:c r="W6" s="23" t="n">
        <x:v>5</x:v>
      </x:c>
      <x:c r="X6" s="23" t="n">
        <x:v>25</x:v>
      </x:c>
      <x:c r="Y6" s="25" t="n">
        <x:v>19.033608424199823</x:v>
      </x:c>
      <x:c r="Z6" s="23" t="str">
        <x:v>benchmark/preprocessing_training/dim_600/area/hnmr/seed_41/cnn/hnmr/original/metrics.json</x:v>
      </x:c>
    </x:row>
    <x:row r="7">
      <x:c r="A7" s="23" t="str">
        <x:v>area</x:v>
      </x:c>
      <x:c r="B7" s="23" t="str">
        <x:v>hnmr</x:v>
      </x:c>
      <x:c r="C7" s="23" t="str">
        <x:v>mps</x:v>
      </x:c>
      <x:c r="D7" s="23" t="n">
        <x:v>41</x:v>
      </x:c>
      <x:c r="E7" s="23" t="n">
        <x:v>600</x:v>
      </x:c>
      <x:c r="F7" s="23"/>
      <x:c r="G7" s="23"/>
      <x:c r="H7" s="23"/>
      <x:c r="I7" s="24" t="n">
        <x:v>0.7003</x:v>
      </x:c>
      <x:c r="J7" s="24" t="n">
        <x:v>0.3718</x:v>
      </x:c>
      <x:c r="K7" s="24" t="n">
        <x:v>0.53605</x:v>
      </x:c>
      <x:c r="L7" s="24" t="n">
        <x:v>9.7644</x:v>
      </x:c>
      <x:c r="M7" s="24" t="n">
        <x:v>0.699900340395791</x:v>
      </x:c>
      <x:c r="N7" s="24" t="n">
        <x:v>0.3631540917071973</x:v>
      </x:c>
      <x:c r="O7" s="24" t="n">
        <x:v>0.5315272160514941</x:v>
      </x:c>
      <x:c r="P7" s="24" t="n">
        <x:v>10.2764</x:v>
      </x:c>
      <x:c r="Q7" s="24" t="n">
        <x:v>0.0769</x:v>
      </x:c>
      <x:c r="R7" s="24" t="n">
        <x:v>0.7072</x:v>
      </x:c>
      <x:c r="S7" s="24" t="n">
        <x:v>0.688</x:v>
      </x:c>
      <x:c r="T7" s="24" t="n">
        <x:v>0.3859</x:v>
      </x:c>
      <x:c r="U7" s="24" t="n">
        <x:v>0.7122</x:v>
      </x:c>
      <x:c r="V7" s="24" t="n">
        <x:v>0.3536</x:v>
      </x:c>
      <x:c r="W7" s="23" t="n">
        <x:v>156</x:v>
      </x:c>
      <x:c r="X7" s="23" t="n">
        <x:v>156</x:v>
      </x:c>
      <x:c r="Y7" s="25" t="n">
        <x:v>123.4</x:v>
      </x:c>
      <x:c r="Z7" s="23" t="str">
        <x:v>benchmark/preprocessing_training/dim_600/area/hnmr/seed_41/mps/results/metrics.json</x:v>
      </x:c>
    </x:row>
    <x:row r="8">
      <x:c r="A8" s="23" t="str">
        <x:v>area</x:v>
      </x:c>
      <x:c r="B8" s="23" t="str">
        <x:v>hnmr</x:v>
      </x:c>
      <x:c r="C8" s="23" t="str">
        <x:v>ttn</x:v>
      </x:c>
      <x:c r="D8" s="23" t="n">
        <x:v>41</x:v>
      </x:c>
      <x:c r="E8" s="23" t="n">
        <x:v>600</x:v>
      </x:c>
      <x:c r="F8" s="23"/>
      <x:c r="G8" s="23"/>
      <x:c r="H8" s="23"/>
      <x:c r="I8" s="24" t="n">
        <x:v>0.6883943481563228</x:v>
      </x:c>
      <x:c r="J8" s="24" t="n">
        <x:v>0.3073775776085224</x:v>
      </x:c>
      <x:c r="K8" s="24" t="n">
        <x:v>0.4978859628824226</x:v>
      </x:c>
      <x:c r="L8" s="24" t="n">
        <x:v>0.391897</x:v>
      </x:c>
      <x:c r="M8" s="24" t="n">
        <x:v>0.6878442470941276</x:v>
      </x:c>
      <x:c r="N8" s="24" t="n">
        <x:v>0.3002030750676017</x:v>
      </x:c>
      <x:c r="O8" s="24" t="n">
        <x:v>0.49402366108086465</x:v>
      </x:c>
      <x:c r="P8" s="24" t="n">
        <x:v>0.395339</x:v>
      </x:c>
      <x:c r="Q8" s="24"/>
      <x:c r="R8" s="24"/>
      <x:c r="S8" s="24" t="n">
        <x:v>0.691341</x:v>
      </x:c>
      <x:c r="T8" s="24"/>
      <x:c r="U8" s="24" t="n">
        <x:v>0.684383</x:v>
      </x:c>
      <x:c r="V8" s="24"/>
      <x:c r="W8" s="23" t="n">
        <x:v>63</x:v>
      </x:c>
      <x:c r="X8" s="23" t="n">
        <x:v>83</x:v>
      </x:c>
      <x:c r="Y8" s="25" t="n">
        <x:v>25.308333333333334</x:v>
      </x:c>
      <x:c r="Z8" s="23" t="str">
        <x:v>benchmark/preprocessing_training/dim_600/area/hnmr/seed_41/ttn/metrics.json</x:v>
      </x:c>
    </x:row>
    <x:row r="9">
      <x:c r="A9" s="23" t="str">
        <x:v>area</x:v>
      </x:c>
      <x:c r="B9" s="23" t="str">
        <x:v>hnmr</x:v>
      </x:c>
      <x:c r="C9" s="23" t="str">
        <x:v>xgboost</x:v>
      </x:c>
      <x:c r="D9" s="23" t="n">
        <x:v>41</x:v>
      </x:c>
      <x:c r="E9" s="23" t="n">
        <x:v>600</x:v>
      </x:c>
      <x:c r="F9" s="23" t="n">
        <x:v>635496</x:v>
      </x:c>
      <x:c r="G9" s="23" t="n">
        <x:v>79450</x:v>
      </x:c>
      <x:c r="H9" s="23" t="n">
        <x:v>79457</x:v>
      </x:c>
      <x:c r="I9" s="24" t="n">
        <x:v>0.7490718911741593</x:v>
      </x:c>
      <x:c r="J9" s="24" t="n">
        <x:v>0.321724136679398</x:v>
      </x:c>
      <x:c r="K9" s="24" t="n">
        <x:v>0.5353980139267787</x:v>
      </x:c>
      <x:c r="L9" s="24"/>
      <x:c r="M9" s="24" t="n">
        <x:v>0.7494985570801028</x:v>
      </x:c>
      <x:c r="N9" s="24" t="n">
        <x:v>0.3163031182726644</x:v>
      </x:c>
      <x:c r="O9" s="24" t="n">
        <x:v>0.5329008376763836</x:v>
      </x:c>
      <x:c r="P9" s="24"/>
      <x:c r="Q9" s="24"/>
      <x:c r="R9" s="24"/>
      <x:c r="S9" s="24"/>
      <x:c r="T9" s="24"/>
      <x:c r="U9" s="24"/>
      <x:c r="V9" s="24"/>
      <x:c r="W9" s="23"/>
      <x:c r="X9" s="23"/>
      <x:c r="Y9" s="25" t="n">
        <x:v>5.419921131750258</x:v>
      </x:c>
      <x:c r="Z9" s="23" t="str">
        <x:v>benchmark/preprocessing_training/dim_600/area/hnmr/seed_41/xgboost/hnmr/original/metrics.json</x:v>
      </x:c>
    </x:row>
    <x:row r="10">
      <x:c r="A10" s="23" t="str">
        <x:v>area</x:v>
      </x:c>
      <x:c r="B10" s="23" t="str">
        <x:v>ir</x:v>
      </x:c>
      <x:c r="C10" s="23" t="str">
        <x:v>cnn</x:v>
      </x:c>
      <x:c r="D10" s="23" t="n">
        <x:v>41</x:v>
      </x:c>
      <x:c r="E10" s="23" t="n">
        <x:v>600</x:v>
      </x:c>
      <x:c r="F10" s="23" t="n">
        <x:v>635496</x:v>
      </x:c>
      <x:c r="G10" s="23" t="n">
        <x:v>79450</x:v>
      </x:c>
      <x:c r="H10" s="23" t="n">
        <x:v>79457</x:v>
      </x:c>
      <x:c r="I10" s="24" t="n">
        <x:v>0.5972312527881366</x:v>
      </x:c>
      <x:c r="J10" s="24" t="n">
        <x:v>0.25345215320118986</x:v>
      </x:c>
      <x:c r="K10" s="24" t="n">
        <x:v>0.42534170299466323</x:v>
      </x:c>
      <x:c r="L10" s="24" t="n">
        <x:v>0.23581182956695557</x:v>
      </x:c>
      <x:c r="M10" s="24" t="n">
        <x:v>0.598144045491423</x:v>
      </x:c>
      <x:c r="N10" s="24" t="n">
        <x:v>0.24404994704201913</x:v>
      </x:c>
      <x:c r="O10" s="24" t="n">
        <x:v>0.42109699626672104</x:v>
      </x:c>
      <x:c r="P10" s="24"/>
      <x:c r="Q10" s="24"/>
      <x:c r="R10" s="24"/>
      <x:c r="S10" s="24"/>
      <x:c r="T10" s="24"/>
      <x:c r="U10" s="24"/>
      <x:c r="V10" s="24"/>
      <x:c r="W10" s="23" t="n">
        <x:v>1</x:v>
      </x:c>
      <x:c r="X10" s="23" t="n">
        <x:v>23</x:v>
      </x:c>
      <x:c r="Y10" s="25" t="n">
        <x:v>17.984566538084376</x:v>
      </x:c>
      <x:c r="Z10" s="23" t="str">
        <x:v>benchmark/preprocessing_training/dim_600/area/ir/seed_41/cnn/ir/original/metrics.json</x:v>
      </x:c>
    </x:row>
    <x:row r="11">
      <x:c r="A11" s="23" t="str">
        <x:v>area</x:v>
      </x:c>
      <x:c r="B11" s="23" t="str">
        <x:v>ir</x:v>
      </x:c>
      <x:c r="C11" s="23" t="str">
        <x:v>mps</x:v>
      </x:c>
      <x:c r="D11" s="23" t="n">
        <x:v>41</x:v>
      </x:c>
      <x:c r="E11" s="23" t="n">
        <x:v>600</x:v>
      </x:c>
      <x:c r="F11" s="23"/>
      <x:c r="G11" s="23"/>
      <x:c r="H11" s="23"/>
      <x:c r="I11" s="24" t="n">
        <x:v>0.8418</x:v>
      </x:c>
      <x:c r="J11" s="24" t="n">
        <x:v>0.6978</x:v>
      </x:c>
      <x:c r="K11" s="24" t="n">
        <x:v>0.7698</x:v>
      </x:c>
      <x:c r="L11" s="24" t="n">
        <x:v>4.2406</x:v>
      </x:c>
      <x:c r="M11" s="24" t="n">
        <x:v>0.8418422021239462</x:v>
      </x:c>
      <x:c r="N11" s="24" t="n">
        <x:v>0.6766921878957525</x:v>
      </x:c>
      <x:c r="O11" s="24" t="n">
        <x:v>0.7592671950098493</x:v>
      </x:c>
      <x:c r="P11" s="24" t="n">
        <x:v>4.286</x:v>
      </x:c>
      <x:c r="Q11" s="24" t="n">
        <x:v>0.2568</x:v>
      </x:c>
      <x:c r="R11" s="24" t="n">
        <x:v>0.8408</x:v>
      </x:c>
      <x:c r="S11" s="24" t="n">
        <x:v>0.869</x:v>
      </x:c>
      <x:c r="T11" s="24" t="n">
        <x:v>0.7526</x:v>
      </x:c>
      <x:c r="U11" s="24" t="n">
        <x:v>0.8163</x:v>
      </x:c>
      <x:c r="V11" s="24" t="n">
        <x:v>0.6377</x:v>
      </x:c>
      <x:c r="W11" s="23" t="n">
        <x:v>147</x:v>
      </x:c>
      <x:c r="X11" s="23" t="n">
        <x:v>149</x:v>
      </x:c>
      <x:c r="Y11" s="25" t="n">
        <x:v>117.4</x:v>
      </x:c>
      <x:c r="Z11" s="23" t="str">
        <x:v>benchmark/preprocessing_training/dim_600/area/ir/seed_41/mps/results/metrics.json</x:v>
      </x:c>
    </x:row>
    <x:row r="12">
      <x:c r="A12" s="23" t="str">
        <x:v>area</x:v>
      </x:c>
      <x:c r="B12" s="23" t="str">
        <x:v>ir</x:v>
      </x:c>
      <x:c r="C12" s="23" t="str">
        <x:v>ttn</x:v>
      </x:c>
      <x:c r="D12" s="23" t="n">
        <x:v>41</x:v>
      </x:c>
      <x:c r="E12" s="23" t="n">
        <x:v>600</x:v>
      </x:c>
      <x:c r="F12" s="23"/>
      <x:c r="G12" s="23"/>
      <x:c r="H12" s="23"/>
      <x:c r="I12" s="24" t="n">
        <x:v>0.830298486567254</x:v>
      </x:c>
      <x:c r="J12" s="24" t="n">
        <x:v>0.588816024127915</x:v>
      </x:c>
      <x:c r="K12" s="24" t="n">
        <x:v>0.7095572553475845</x:v>
      </x:c>
      <x:c r="L12" s="24" t="n">
        <x:v>0.191972</x:v>
      </x:c>
      <x:c r="M12" s="24" t="n">
        <x:v>0.8305428086065773</x:v>
      </x:c>
      <x:c r="N12" s="24" t="n">
        <x:v>0.5802744249144511</x:v>
      </x:c>
      <x:c r="O12" s="24" t="n">
        <x:v>0.7054086167605143</x:v>
      </x:c>
      <x:c r="P12" s="24" t="n">
        <x:v>0.192426</x:v>
      </x:c>
      <x:c r="Q12" s="24"/>
      <x:c r="R12" s="24"/>
      <x:c r="S12" s="24" t="n">
        <x:v>0.824722</x:v>
      </x:c>
      <x:c r="T12" s="24"/>
      <x:c r="U12" s="24" t="n">
        <x:v>0.836446</x:v>
      </x:c>
      <x:c r="V12" s="24"/>
      <x:c r="W12" s="23" t="n">
        <x:v>51</x:v>
      </x:c>
      <x:c r="X12" s="23" t="n">
        <x:v>71</x:v>
      </x:c>
      <x:c r="Y12" s="25" t="n">
        <x:v>22.2955</x:v>
      </x:c>
      <x:c r="Z12" s="23" t="str">
        <x:v>benchmark/preprocessing_training/dim_600/area/ir/seed_41/ttn/metrics.json</x:v>
      </x:c>
    </x:row>
    <x:row r="13">
      <x:c r="A13" s="23" t="str">
        <x:v>area</x:v>
      </x:c>
      <x:c r="B13" s="23" t="str">
        <x:v>ir</x:v>
      </x:c>
      <x:c r="C13" s="23" t="str">
        <x:v>xgboost</x:v>
      </x:c>
      <x:c r="D13" s="23" t="n">
        <x:v>41</x:v>
      </x:c>
      <x:c r="E13" s="23" t="n">
        <x:v>600</x:v>
      </x:c>
      <x:c r="F13" s="23" t="n">
        <x:v>635496</x:v>
      </x:c>
      <x:c r="G13" s="23" t="n">
        <x:v>79450</x:v>
      </x:c>
      <x:c r="H13" s="23" t="n">
        <x:v>79457</x:v>
      </x:c>
      <x:c r="I13" s="24" t="n">
        <x:v>0.8432149954542725</x:v>
      </x:c>
      <x:c r="J13" s="24" t="n">
        <x:v>0.5701322308096882</x:v>
      </x:c>
      <x:c r="K13" s="24" t="n">
        <x:v>0.7066736131319804</x:v>
      </x:c>
      <x:c r="L13" s="24"/>
      <x:c r="M13" s="24" t="n">
        <x:v>0.8440160943202021</x:v>
      </x:c>
      <x:c r="N13" s="24" t="n">
        <x:v>0.5626489634749131</x:v>
      </x:c>
      <x:c r="O13" s="24" t="n">
        <x:v>0.7033325288975576</x:v>
      </x:c>
      <x:c r="P13" s="24"/>
      <x:c r="Q13" s="24"/>
      <x:c r="R13" s="24"/>
      <x:c r="S13" s="24"/>
      <x:c r="T13" s="24"/>
      <x:c r="U13" s="24"/>
      <x:c r="V13" s="24"/>
      <x:c r="W13" s="23"/>
      <x:c r="X13" s="23"/>
      <x:c r="Y13" s="25" t="n">
        <x:v>5.904080642916961</x:v>
      </x:c>
      <x:c r="Z13" s="23" t="str">
        <x:v>benchmark/preprocessing_training/dim_600/area/ir/seed_41/xgboost/ir/original/metrics.json</x:v>
      </x:c>
    </x:row>
    <x:row r="14">
      <x:c r="A14" s="23" t="str">
        <x:v>area</x:v>
      </x:c>
      <x:c r="B14" s="23" t="str">
        <x:v>msms_neg</x:v>
      </x:c>
      <x:c r="C14" s="23" t="str">
        <x:v>cnn</x:v>
      </x:c>
      <x:c r="D14" s="23" t="n">
        <x:v>41</x:v>
      </x:c>
      <x:c r="E14" s="23" t="n">
        <x:v>600</x:v>
      </x:c>
      <x:c r="F14" s="23" t="n">
        <x:v>635496</x:v>
      </x:c>
      <x:c r="G14" s="23" t="n">
        <x:v>79450</x:v>
      </x:c>
      <x:c r="H14" s="23" t="n">
        <x:v>79457</x:v>
      </x:c>
      <x:c r="I14" s="24" t="n">
        <x:v>0.6451849307225467</x:v>
      </x:c>
      <x:c r="J14" s="24" t="n">
        <x:v>0.12059491749736145</x:v>
      </x:c>
      <x:c r="K14" s="24" t="n">
        <x:v>0.38288992410995404</x:v>
      </x:c>
      <x:c r="L14" s="24" t="n">
        <x:v>0.21638810634613037</x:v>
      </x:c>
      <x:c r="M14" s="24" t="n">
        <x:v>0.6450209179466821</x:v>
      </x:c>
      <x:c r="N14" s="24" t="n">
        <x:v>0.12019745094201686</x:v>
      </x:c>
      <x:c r="O14" s="24" t="n">
        <x:v>0.3826091844443495</x:v>
      </x:c>
      <x:c r="P14" s="24"/>
      <x:c r="Q14" s="24"/>
      <x:c r="R14" s="24"/>
      <x:c r="S14" s="24"/>
      <x:c r="T14" s="24"/>
      <x:c r="U14" s="24"/>
      <x:c r="V14" s="24"/>
      <x:c r="W14" s="23" t="n">
        <x:v>4</x:v>
      </x:c>
      <x:c r="X14" s="23" t="n">
        <x:v>33</x:v>
      </x:c>
      <x:c r="Y14" s="25" t="n">
        <x:v>25.017704952065834</x:v>
      </x:c>
      <x:c r="Z14" s="23" t="str">
        <x:v>benchmark/preprocessing_training/dim_600/area/msms_neg/seed_41/cnn/neg_msms/original/metrics.json</x:v>
      </x:c>
    </x:row>
    <x:row r="15">
      <x:c r="A15" s="23" t="str">
        <x:v>area</x:v>
      </x:c>
      <x:c r="B15" s="23" t="str">
        <x:v>msms_neg</x:v>
      </x:c>
      <x:c r="C15" s="23" t="str">
        <x:v>mps</x:v>
      </x:c>
      <x:c r="D15" s="23" t="n">
        <x:v>41</x:v>
      </x:c>
      <x:c r="E15" s="23" t="n">
        <x:v>600</x:v>
      </x:c>
      <x:c r="F15" s="23"/>
      <x:c r="G15" s="23"/>
      <x:c r="H15" s="23"/>
      <x:c r="I15" s="24" t="n">
        <x:v>0.2805</x:v>
      </x:c>
      <x:c r="J15" s="24" t="n">
        <x:v>0.1735</x:v>
      </x:c>
      <x:c r="K15" s="24" t="n">
        <x:v>0.227</x:v>
      </x:c>
      <x:c r="L15" s="24" t="n">
        <x:v>1.2153</x:v>
      </x:c>
      <x:c r="M15" s="24" t="n">
        <x:v>0.27959189280892227</x:v>
      </x:c>
      <x:c r="N15" s="24" t="n">
        <x:v>0.17330553151000413</x:v>
      </x:c>
      <x:c r="O15" s="24" t="n">
        <x:v>0.22644871215946322</x:v>
      </x:c>
      <x:c r="P15" s="24" t="n">
        <x:v>1.3466</x:v>
      </x:c>
      <x:c r="Q15" s="24" t="n">
        <x:v>0</x:v>
      </x:c>
      <x:c r="R15" s="24" t="n">
        <x:v>0.5429</x:v>
      </x:c>
      <x:c r="S15" s="24" t="n">
        <x:v>0.1846</x:v>
      </x:c>
      <x:c r="T15" s="24" t="n">
        <x:v>0.1561</x:v>
      </x:c>
      <x:c r="U15" s="24" t="n">
        <x:v>0.5763</x:v>
      </x:c>
      <x:c r="V15" s="24" t="n">
        <x:v>0.5621</x:v>
      </x:c>
      <x:c r="W15" s="23" t="n">
        <x:v>9</x:v>
      </x:c>
      <x:c r="X15" s="23" t="n">
        <x:v>29</x:v>
      </x:c>
      <x:c r="Y15" s="25" t="n">
        <x:v>23.7</x:v>
      </x:c>
      <x:c r="Z15" s="23" t="str">
        <x:v>benchmark/preprocessing_training/dim_600/area/msms_neg/seed_41/mps/results/metrics.json</x:v>
      </x:c>
    </x:row>
    <x:row r="16">
      <x:c r="A16" s="23" t="str">
        <x:v>area</x:v>
      </x:c>
      <x:c r="B16" s="23" t="str">
        <x:v>msms_neg</x:v>
      </x:c>
      <x:c r="C16" s="23" t="str">
        <x:v>ttn</x:v>
      </x:c>
      <x:c r="D16" s="23" t="n">
        <x:v>41</x:v>
      </x:c>
      <x:c r="E16" s="23" t="n">
        <x:v>600</x:v>
      </x:c>
      <x:c r="F16" s="23"/>
      <x:c r="G16" s="23"/>
      <x:c r="H16" s="23"/>
      <x:c r="I16" s="24" t="n">
        <x:v>0.6405838007005024</x:v>
      </x:c>
      <x:c r="J16" s="24" t="n">
        <x:v>0.15082698378114662</x:v>
      </x:c>
      <x:c r="K16" s="24" t="n">
        <x:v>0.39570539224082446</x:v>
      </x:c>
      <x:c r="L16" s="24" t="n">
        <x:v>0.403781</x:v>
      </x:c>
      <x:c r="M16" s="24" t="n">
        <x:v>0.6406502352362896</x:v>
      </x:c>
      <x:c r="N16" s="24" t="n">
        <x:v>0.15127906327813156</x:v>
      </x:c>
      <x:c r="O16" s="24" t="n">
        <x:v>0.3959646492572106</x:v>
      </x:c>
      <x:c r="P16" s="24" t="n">
        <x:v>0.404568</x:v>
      </x:c>
      <x:c r="Q16" s="24"/>
      <x:c r="R16" s="24"/>
      <x:c r="S16" s="24" t="n">
        <x:v>0.72044</x:v>
      </x:c>
      <x:c r="T16" s="24"/>
      <x:c r="U16" s="24" t="n">
        <x:v>0.576772</x:v>
      </x:c>
      <x:c r="V16" s="24"/>
      <x:c r="W16" s="23" t="n">
        <x:v>62</x:v>
      </x:c>
      <x:c r="X16" s="23" t="n">
        <x:v>82</x:v>
      </x:c>
      <x:c r="Y16" s="25" t="n">
        <x:v>24.872833333333332</x:v>
      </x:c>
      <x:c r="Z16" s="23" t="str">
        <x:v>benchmark/preprocessing_training/dim_600/area/msms_neg/seed_41/ttn/metrics.json</x:v>
      </x:c>
    </x:row>
    <x:row r="17">
      <x:c r="A17" s="23" t="str">
        <x:v>area</x:v>
      </x:c>
      <x:c r="B17" s="23" t="str">
        <x:v>msms_neg</x:v>
      </x:c>
      <x:c r="C17" s="23" t="str">
        <x:v>xgboost</x:v>
      </x:c>
      <x:c r="D17" s="23" t="n">
        <x:v>41</x:v>
      </x:c>
      <x:c r="E17" s="23" t="n">
        <x:v>600</x:v>
      </x:c>
      <x:c r="F17" s="23" t="n">
        <x:v>635496</x:v>
      </x:c>
      <x:c r="G17" s="23" t="n">
        <x:v>79450</x:v>
      </x:c>
      <x:c r="H17" s="23" t="n">
        <x:v>79457</x:v>
      </x:c>
      <x:c r="I17" s="24" t="n">
        <x:v>0.6238082222615239</x:v>
      </x:c>
      <x:c r="J17" s="24" t="n">
        <x:v>0.10799289534799965</x:v>
      </x:c>
      <x:c r="K17" s="24" t="n">
        <x:v>0.36590055880476174</x:v>
      </x:c>
      <x:c r="L17" s="24"/>
      <x:c r="M17" s="24" t="n">
        <x:v>0.6236163726885924</x:v>
      </x:c>
      <x:c r="N17" s="24" t="n">
        <x:v>0.10789585797618964</x:v>
      </x:c>
      <x:c r="O17" s="24" t="n">
        <x:v>0.365756115332391</x:v>
      </x:c>
      <x:c r="P17" s="24"/>
      <x:c r="Q17" s="24"/>
      <x:c r="R17" s="24"/>
      <x:c r="S17" s="24"/>
      <x:c r="T17" s="24"/>
      <x:c r="U17" s="24"/>
      <x:c r="V17" s="24"/>
      <x:c r="W17" s="23"/>
      <x:c r="X17" s="23"/>
      <x:c r="Y17" s="25" t="n">
        <x:v>2.440503821351255</x:v>
      </x:c>
      <x:c r="Z17" s="23" t="str">
        <x:v>benchmark/preprocessing_training/dim_600/area/msms_neg/seed_41/xgboost/neg_msms/original/metrics.json</x:v>
      </x:c>
    </x:row>
    <x:row r="18">
      <x:c r="A18" s="23" t="str">
        <x:v>area</x:v>
      </x:c>
      <x:c r="B18" s="23" t="str">
        <x:v>msms_pos</x:v>
      </x:c>
      <x:c r="C18" s="23" t="str">
        <x:v>cnn</x:v>
      </x:c>
      <x:c r="D18" s="23" t="n">
        <x:v>41</x:v>
      </x:c>
      <x:c r="E18" s="23" t="n">
        <x:v>600</x:v>
      </x:c>
      <x:c r="F18" s="23" t="n">
        <x:v>635496</x:v>
      </x:c>
      <x:c r="G18" s="23" t="n">
        <x:v>79450</x:v>
      </x:c>
      <x:c r="H18" s="23" t="n">
        <x:v>79457</x:v>
      </x:c>
      <x:c r="I18" s="24" t="n">
        <x:v>0.6379553744848169</x:v>
      </x:c>
      <x:c r="J18" s="24" t="n">
        <x:v>0.1013762490784287</x:v>
      </x:c>
      <x:c r="K18" s="24" t="n">
        <x:v>0.3696658117816228</x:v>
      </x:c>
      <x:c r="L18" s="24" t="n">
        <x:v>0.2171422243118286</x:v>
      </x:c>
      <x:c r="M18" s="24" t="n">
        <x:v>0.6370363113794406</x:v>
      </x:c>
      <x:c r="N18" s="24" t="n">
        <x:v>0.1015741198914776</x:v>
      </x:c>
      <x:c r="O18" s="24" t="n">
        <x:v>0.3693052156354591</x:v>
      </x:c>
      <x:c r="P18" s="24"/>
      <x:c r="Q18" s="24"/>
      <x:c r="R18" s="24"/>
      <x:c r="S18" s="24"/>
      <x:c r="T18" s="24"/>
      <x:c r="U18" s="24"/>
      <x:c r="V18" s="24"/>
      <x:c r="W18" s="23" t="n">
        <x:v>14</x:v>
      </x:c>
      <x:c r="X18" s="23" t="n">
        <x:v>31</x:v>
      </x:c>
      <x:c r="Y18" s="25" t="n">
        <x:v>24.01446192204991</x:v>
      </x:c>
      <x:c r="Z18" s="23" t="str">
        <x:v>benchmark/preprocessing_training/dim_600/area/msms_pos/seed_41/cnn/pos_msms/original/metrics.json</x:v>
      </x:c>
    </x:row>
    <x:row r="19">
      <x:c r="A19" s="23" t="str">
        <x:v>area</x:v>
      </x:c>
      <x:c r="B19" s="23" t="str">
        <x:v>msms_pos</x:v>
      </x:c>
      <x:c r="C19" s="23" t="str">
        <x:v>mps</x:v>
      </x:c>
      <x:c r="D19" s="23" t="n">
        <x:v>41</x:v>
      </x:c>
      <x:c r="E19" s="23" t="n">
        <x:v>600</x:v>
      </x:c>
      <x:c r="F19" s="23"/>
      <x:c r="G19" s="23"/>
      <x:c r="H19" s="23"/>
      <x:c r="I19" s="24" t="n">
        <x:v>0.2889</x:v>
      </x:c>
      <x:c r="J19" s="24" t="n">
        <x:v>0.1722</x:v>
      </x:c>
      <x:c r="K19" s="24" t="n">
        <x:v>0.23054999999999998</x:v>
      </x:c>
      <x:c r="L19" s="24" t="n">
        <x:v>1.2073</x:v>
      </x:c>
      <x:c r="M19" s="24" t="n">
        <x:v>0.28844672025208945</x:v>
      </x:c>
      <x:c r="N19" s="24" t="n">
        <x:v>0.17236100153664496</x:v>
      </x:c>
      <x:c r="O19" s="24" t="n">
        <x:v>0.2304038608943672</x:v>
      </x:c>
      <x:c r="P19" s="24" t="n">
        <x:v>1.206</x:v>
      </x:c>
      <x:c r="Q19" s="24" t="n">
        <x:v>0</x:v>
      </x:c>
      <x:c r="R19" s="24" t="n">
        <x:v>0.5556</x:v>
      </x:c>
      <x:c r="S19" s="24" t="n">
        <x:v>0.1882</x:v>
      </x:c>
      <x:c r="T19" s="24" t="n">
        <x:v>0.1513</x:v>
      </x:c>
      <x:c r="U19" s="24" t="n">
        <x:v>0.6173</x:v>
      </x:c>
      <x:c r="V19" s="24" t="n">
        <x:v>0.5565</x:v>
      </x:c>
      <x:c r="W19" s="23" t="n">
        <x:v>1</x:v>
      </x:c>
      <x:c r="X19" s="23" t="n">
        <x:v>21</x:v>
      </x:c>
      <x:c r="Y19" s="25" t="n">
        <x:v>17.4</x:v>
      </x:c>
      <x:c r="Z19" s="23" t="str">
        <x:v>benchmark/preprocessing_training/dim_600/area/msms_pos/seed_41/mps/results/metrics.json</x:v>
      </x:c>
    </x:row>
    <x:row r="20">
      <x:c r="A20" s="23" t="str">
        <x:v>area</x:v>
      </x:c>
      <x:c r="B20" s="23" t="str">
        <x:v>msms_pos</x:v>
      </x:c>
      <x:c r="C20" s="23" t="str">
        <x:v>ttn</x:v>
      </x:c>
      <x:c r="D20" s="23" t="n">
        <x:v>41</x:v>
      </x:c>
      <x:c r="E20" s="23" t="n">
        <x:v>600</x:v>
      </x:c>
      <x:c r="F20" s="23"/>
      <x:c r="G20" s="23"/>
      <x:c r="H20" s="23"/>
      <x:c r="I20" s="24" t="n">
        <x:v>0.6474949652108795</x:v>
      </x:c>
      <x:c r="J20" s="24" t="n">
        <x:v>0.14612503525532236</x:v>
      </x:c>
      <x:c r="K20" s="24" t="n">
        <x:v>0.3968100002331009</x:v>
      </x:c>
      <x:c r="L20" s="24" t="n">
        <x:v>0.399599</x:v>
      </x:c>
      <x:c r="M20" s="24" t="n">
        <x:v>0.6471119133574007</x:v>
      </x:c>
      <x:c r="N20" s="24" t="n">
        <x:v>0.14572532145290376</x:v>
      </x:c>
      <x:c r="O20" s="24" t="n">
        <x:v>0.3964186174051522</x:v>
      </x:c>
      <x:c r="P20" s="24" t="n">
        <x:v>0.399935</x:v>
      </x:c>
      <x:c r="Q20" s="24"/>
      <x:c r="R20" s="24"/>
      <x:c r="S20" s="24" t="n">
        <x:v>0.723246</x:v>
      </x:c>
      <x:c r="T20" s="24"/>
      <x:c r="U20" s="24" t="n">
        <x:v>0.58548</x:v>
      </x:c>
      <x:c r="V20" s="24"/>
      <x:c r="W20" s="23" t="n">
        <x:v>4</x:v>
      </x:c>
      <x:c r="X20" s="23" t="n">
        <x:v>80</x:v>
      </x:c>
      <x:c r="Y20" s="25" t="n">
        <x:v>24.046166666666668</x:v>
      </x:c>
      <x:c r="Z20" s="23" t="str">
        <x:v>benchmark/preprocessing_training/dim_600/area/msms_pos/seed_41/ttn/metrics.json</x:v>
      </x:c>
    </x:row>
    <x:row r="21">
      <x:c r="A21" s="23" t="str">
        <x:v>area</x:v>
      </x:c>
      <x:c r="B21" s="23" t="str">
        <x:v>msms_pos</x:v>
      </x:c>
      <x:c r="C21" s="23" t="str">
        <x:v>xgboost</x:v>
      </x:c>
      <x:c r="D21" s="23" t="n">
        <x:v>41</x:v>
      </x:c>
      <x:c r="E21" s="23" t="n">
        <x:v>600</x:v>
      </x:c>
      <x:c r="F21" s="23" t="n">
        <x:v>635496</x:v>
      </x:c>
      <x:c r="G21" s="23" t="n">
        <x:v>79450</x:v>
      </x:c>
      <x:c r="H21" s="23" t="n">
        <x:v>79457</x:v>
      </x:c>
      <x:c r="I21" s="24" t="n">
        <x:v>0.6318533683065702</x:v>
      </x:c>
      <x:c r="J21" s="24" t="n">
        <x:v>0.10161063019023041</x:v>
      </x:c>
      <x:c r="K21" s="24" t="n">
        <x:v>0.36673199924840033</x:v>
      </x:c>
      <x:c r="L21" s="24"/>
      <x:c r="M21" s="24" t="n">
        <x:v>0.6313028439661799</x:v>
      </x:c>
      <x:c r="N21" s="24" t="n">
        <x:v>0.1019293683429056</x:v>
      </x:c>
      <x:c r="O21" s="24" t="n">
        <x:v>0.3666161061545427</x:v>
      </x:c>
      <x:c r="P21" s="24"/>
      <x:c r="Q21" s="24"/>
      <x:c r="R21" s="24"/>
      <x:c r="S21" s="24"/>
      <x:c r="T21" s="24"/>
      <x:c r="U21" s="24"/>
      <x:c r="V21" s="24"/>
      <x:c r="W21" s="23"/>
      <x:c r="X21" s="23"/>
      <x:c r="Y21" s="25" t="n">
        <x:v>2.5076205642156615</x:v>
      </x:c>
      <x:c r="Z21" s="23" t="str">
        <x:v>benchmark/preprocessing_training/dim_600/area/msms_pos/seed_41/xgboost/pos_msms/original/metrics.json</x:v>
      </x:c>
    </x:row>
    <x:row r="22">
      <x:c r="A22" s="23" t="str">
        <x:v>gaussian</x:v>
      </x:c>
      <x:c r="B22" s="23" t="str">
        <x:v>cnmr</x:v>
      </x:c>
      <x:c r="C22" s="23" t="str">
        <x:v>cnn</x:v>
      </x:c>
      <x:c r="D22" s="23" t="n">
        <x:v>41</x:v>
      </x:c>
      <x:c r="E22" s="23" t="n">
        <x:v>600</x:v>
      </x:c>
      <x:c r="F22" s="23" t="n">
        <x:v>635496</x:v>
      </x:c>
      <x:c r="G22" s="23" t="n">
        <x:v>79450</x:v>
      </x:c>
      <x:c r="H22" s="23" t="n">
        <x:v>79457</x:v>
      </x:c>
      <x:c r="I22" s="24" t="n">
        <x:v>0.5682002649924448</x:v>
      </x:c>
      <x:c r="J22" s="24" t="n">
        <x:v>0.07067223456411624</x:v>
      </x:c>
      <x:c r="K22" s="24" t="n">
        <x:v>0.3194362497782805</x:v>
      </x:c>
      <x:c r="L22" s="24" t="n">
        <x:v>3.5785319805145264</x:v>
      </x:c>
      <x:c r="M22" s="24" t="n">
        <x:v>0.5682633155642797</x:v>
      </x:c>
      <x:c r="N22" s="24" t="n">
        <x:v>0.07074102043548623</x:v>
      </x:c>
      <x:c r="O22" s="24" t="n">
        <x:v>0.31950216799988296</x:v>
      </x:c>
      <x:c r="P22" s="24"/>
      <x:c r="Q22" s="24"/>
      <x:c r="R22" s="24"/>
      <x:c r="S22" s="24"/>
      <x:c r="T22" s="24"/>
      <x:c r="U22" s="24"/>
      <x:c r="V22" s="24"/>
      <x:c r="W22" s="23" t="n">
        <x:v>18</x:v>
      </x:c>
      <x:c r="X22" s="23" t="n">
        <x:v>37</x:v>
      </x:c>
      <x:c r="Y22" s="25" t="n">
        <x:v>26.606822493501628</x:v>
      </x:c>
      <x:c r="Z22" s="23" t="str">
        <x:v>benchmark/preprocessing_training/dim_600/gaussian/cnmr/seed_41/cnn/cnmr/original/metrics.json</x:v>
      </x:c>
    </x:row>
    <x:row r="23">
      <x:c r="A23" s="23" t="str">
        <x:v>gaussian</x:v>
      </x:c>
      <x:c r="B23" s="23" t="str">
        <x:v>cnmr</x:v>
      </x:c>
      <x:c r="C23" s="23" t="str">
        <x:v>mps</x:v>
      </x:c>
      <x:c r="D23" s="23" t="n">
        <x:v>41</x:v>
      </x:c>
      <x:c r="E23" s="23" t="n">
        <x:v>600</x:v>
      </x:c>
      <x:c r="F23" s="23"/>
      <x:c r="G23" s="23"/>
      <x:c r="H23" s="23"/>
      <x:c r="I23" s="24" t="n">
        <x:v>0.6047</x:v>
      </x:c>
      <x:c r="J23" s="24" t="n">
        <x:v>0.2983</x:v>
      </x:c>
      <x:c r="K23" s="24" t="n">
        <x:v>0.4515</x:v>
      </x:c>
      <x:c r="L23" s="24" t="n">
        <x:v>8.3175</x:v>
      </x:c>
      <x:c r="M23" s="24" t="n">
        <x:v>0.6060693433287682</x:v>
      </x:c>
      <x:c r="N23" s="24" t="n">
        <x:v>0.29662119576608004</x:v>
      </x:c>
      <x:c r="O23" s="24" t="n">
        <x:v>0.4513452695474241</x:v>
      </x:c>
      <x:c r="P23" s="24" t="n">
        <x:v>8.0784</x:v>
      </x:c>
      <x:c r="Q23" s="24" t="n">
        <x:v>0.0128</x:v>
      </x:c>
      <x:c r="R23" s="24" t="n">
        <x:v>0.685</x:v>
      </x:c>
      <x:c r="S23" s="24" t="n">
        <x:v>0.5071</x:v>
      </x:c>
      <x:c r="T23" s="24" t="n">
        <x:v>0.248</x:v>
      </x:c>
      <x:c r="U23" s="24" t="n">
        <x:v>0.753</x:v>
      </x:c>
      <x:c r="V23" s="24" t="n">
        <x:v>0.4343</x:v>
      </x:c>
      <x:c r="W23" s="23" t="n">
        <x:v>182</x:v>
      </x:c>
      <x:c r="X23" s="23" t="n">
        <x:v>192</x:v>
      </x:c>
      <x:c r="Y23" s="25" t="n">
        <x:v>266.6</x:v>
      </x:c>
      <x:c r="Z23" s="23" t="str">
        <x:v>benchmark/preprocessing_training/dim_600/gaussian/cnmr/seed_41/mps/results/metrics.json</x:v>
      </x:c>
    </x:row>
    <x:row r="24">
      <x:c r="A24" s="23" t="str">
        <x:v>gaussian</x:v>
      </x:c>
      <x:c r="B24" s="23" t="str">
        <x:v>cnmr</x:v>
      </x:c>
      <x:c r="C24" s="23" t="str">
        <x:v>ttn</x:v>
      </x:c>
      <x:c r="D24" s="23" t="n">
        <x:v>41</x:v>
      </x:c>
      <x:c r="E24" s="23" t="n">
        <x:v>600</x:v>
      </x:c>
      <x:c r="F24" s="23"/>
      <x:c r="G24" s="23"/>
      <x:c r="H24" s="23"/>
      <x:c r="I24" s="24" t="n">
        <x:v>0.717605798705722</x:v>
      </x:c>
      <x:c r="J24" s="24" t="n">
        <x:v>0.3237585706808335</x:v>
      </x:c>
      <x:c r="K24" s="24" t="n">
        <x:v>0.5206821846932778</x:v>
      </x:c>
      <x:c r="L24" s="24" t="n">
        <x:v>0.322504</x:v>
      </x:c>
      <x:c r="M24" s="24" t="n">
        <x:v>0.7187843928951182</x:v>
      </x:c>
      <x:c r="N24" s="24" t="n">
        <x:v>0.3235852824829541</x:v>
      </x:c>
      <x:c r="O24" s="24" t="n">
        <x:v>0.5211848376890361</x:v>
      </x:c>
      <x:c r="P24" s="24" t="n">
        <x:v>0.321708</x:v>
      </x:c>
      <x:c r="Q24" s="24"/>
      <x:c r="R24" s="24"/>
      <x:c r="S24" s="24" t="n">
        <x:v>0.72637</x:v>
      </x:c>
      <x:c r="T24" s="24"/>
      <x:c r="U24" s="24" t="n">
        <x:v>0.711356</x:v>
      </x:c>
      <x:c r="V24" s="24"/>
      <x:c r="W24" s="23" t="n">
        <x:v>27</x:v>
      </x:c>
      <x:c r="X24" s="23" t="n">
        <x:v>56</x:v>
      </x:c>
      <x:c r="Y24" s="25" t="n">
        <x:v>16.651666666666667</x:v>
      </x:c>
      <x:c r="Z24" s="23" t="str">
        <x:v>benchmark/preprocessing_training/dim_600/gaussian/cnmr/seed_41/ttn/metrics.json</x:v>
      </x:c>
    </x:row>
    <x:row r="25">
      <x:c r="A25" s="23" t="str">
        <x:v>gaussian</x:v>
      </x:c>
      <x:c r="B25" s="23" t="str">
        <x:v>cnmr</x:v>
      </x:c>
      <x:c r="C25" s="23" t="str">
        <x:v>xgboost</x:v>
      </x:c>
      <x:c r="D25" s="23" t="n">
        <x:v>41</x:v>
      </x:c>
      <x:c r="E25" s="23" t="n">
        <x:v>600</x:v>
      </x:c>
      <x:c r="F25" s="23" t="n">
        <x:v>635496</x:v>
      </x:c>
      <x:c r="G25" s="23" t="n">
        <x:v>79450</x:v>
      </x:c>
      <x:c r="H25" s="23" t="n">
        <x:v>79457</x:v>
      </x:c>
      <x:c r="I25" s="24" t="n">
        <x:v>0.7828152387143206</x:v>
      </x:c>
      <x:c r="J25" s="24" t="n">
        <x:v>0.39186945077037494</x:v>
      </x:c>
      <x:c r="K25" s="24" t="n">
        <x:v>0.5873423447423478</x:v>
      </x:c>
      <x:c r="L25" s="24"/>
      <x:c r="M25" s="24" t="n">
        <x:v>0.7827756445419638</x:v>
      </x:c>
      <x:c r="N25" s="24" t="n">
        <x:v>0.38559060946638857</x:v>
      </x:c>
      <x:c r="O25" s="24" t="n">
        <x:v>0.5841831270041762</x:v>
      </x:c>
      <x:c r="P25" s="24"/>
      <x:c r="Q25" s="24"/>
      <x:c r="R25" s="24"/>
      <x:c r="S25" s="24"/>
      <x:c r="T25" s="24"/>
      <x:c r="U25" s="24"/>
      <x:c r="V25" s="24"/>
      <x:c r="W25" s="23"/>
      <x:c r="X25" s="23"/>
      <x:c r="Y25" s="25" t="n">
        <x:v>4.766505538734297</x:v>
      </x:c>
      <x:c r="Z25" s="23" t="str">
        <x:v>benchmark/preprocessing_training/dim_600/gaussian/cnmr/seed_41/xgboost/cnmr/original/metrics.json</x:v>
      </x:c>
    </x:row>
    <x:row r="26">
      <x:c r="A26" s="23" t="str">
        <x:v>gaussian</x:v>
      </x:c>
      <x:c r="B26" s="23" t="str">
        <x:v>hnmr</x:v>
      </x:c>
      <x:c r="C26" s="23" t="str">
        <x:v>cnn</x:v>
      </x:c>
      <x:c r="D26" s="23" t="n">
        <x:v>41</x:v>
      </x:c>
      <x:c r="E26" s="23" t="n">
        <x:v>600</x:v>
      </x:c>
      <x:c r="F26" s="23" t="n">
        <x:v>635496</x:v>
      </x:c>
      <x:c r="G26" s="23" t="n">
        <x:v>79450</x:v>
      </x:c>
      <x:c r="H26" s="23" t="n">
        <x:v>79457</x:v>
      </x:c>
      <x:c r="I26" s="24" t="n">
        <x:v>0.5351084815591131</x:v>
      </x:c>
      <x:c r="J26" s="24" t="n">
        <x:v>0.0907909729368366</x:v>
      </x:c>
      <x:c r="K26" s="24" t="n">
        <x:v>0.3129497272479748</x:v>
      </x:c>
      <x:c r="L26" s="24" t="n">
        <x:v>1.432581901550293</x:v>
      </x:c>
      <x:c r="M26" s="24" t="n">
        <x:v>0.5359861222070265</x:v>
      </x:c>
      <x:c r="N26" s="24" t="n">
        <x:v>0.09104900080450852</x:v>
      </x:c>
      <x:c r="O26" s="24" t="n">
        <x:v>0.3135175615057675</x:v>
      </x:c>
      <x:c r="P26" s="24"/>
      <x:c r="Q26" s="24"/>
      <x:c r="R26" s="24"/>
      <x:c r="S26" s="24"/>
      <x:c r="T26" s="24"/>
      <x:c r="U26" s="24"/>
      <x:c r="V26" s="24"/>
      <x:c r="W26" s="23" t="n">
        <x:v>21</x:v>
      </x:c>
      <x:c r="X26" s="23" t="n">
        <x:v>44</x:v>
      </x:c>
      <x:c r="Y26" s="25" t="n">
        <x:v>33.24729041236375</x:v>
      </x:c>
      <x:c r="Z26" s="23" t="str">
        <x:v>benchmark/preprocessing_training/dim_600/gaussian/hnmr/seed_41/cnn/hnmr/original/metrics.json</x:v>
      </x:c>
    </x:row>
    <x:row r="27">
      <x:c r="A27" s="23" t="str">
        <x:v>gaussian</x:v>
      </x:c>
      <x:c r="B27" s="23" t="str">
        <x:v>hnmr</x:v>
      </x:c>
      <x:c r="C27" s="23" t="str">
        <x:v>mps</x:v>
      </x:c>
      <x:c r="D27" s="23" t="n">
        <x:v>41</x:v>
      </x:c>
      <x:c r="E27" s="23" t="n">
        <x:v>600</x:v>
      </x:c>
      <x:c r="F27" s="23"/>
      <x:c r="G27" s="23"/>
      <x:c r="H27" s="23"/>
      <x:c r="I27" s="24" t="n">
        <x:v>0.6431</x:v>
      </x:c>
      <x:c r="J27" s="24" t="n">
        <x:v>0.3299</x:v>
      </x:c>
      <x:c r="K27" s="24" t="n">
        <x:v>0.48650000000000004</x:v>
      </x:c>
      <x:c r="L27" s="24" t="n">
        <x:v>8.0375</x:v>
      </x:c>
      <x:c r="M27" s="24" t="n">
        <x:v>0.6432931252401053</x:v>
      </x:c>
      <x:c r="N27" s="24" t="n">
        <x:v>0.32758579519051895</x:v>
      </x:c>
      <x:c r="O27" s="24" t="n">
        <x:v>0.48543946021531215</x:v>
      </x:c>
      <x:c r="P27" s="24" t="n">
        <x:v>8.5165</x:v>
      </x:c>
      <x:c r="Q27" s="24" t="n">
        <x:v>0.0292</x:v>
      </x:c>
      <x:c r="R27" s="24" t="n">
        <x:v>0.6905</x:v>
      </x:c>
      <x:c r="S27" s="24" t="n">
        <x:v>0.575</x:v>
      </x:c>
      <x:c r="T27" s="24" t="n">
        <x:v>0.2952</x:v>
      </x:c>
      <x:c r="U27" s="24" t="n">
        <x:v>0.73</x:v>
      </x:c>
      <x:c r="V27" s="24" t="n">
        <x:v>0.3938</x:v>
      </x:c>
      <x:c r="W27" s="23" t="n">
        <x:v>179</x:v>
      </x:c>
      <x:c r="X27" s="23" t="n">
        <x:v>189</x:v>
      </x:c>
      <x:c r="Y27" s="25" t="n">
        <x:v>123.7</x:v>
      </x:c>
      <x:c r="Z27" s="23" t="str">
        <x:v>benchmark/preprocessing_training/dim_600/gaussian/hnmr/seed_41/mps/results/metrics.json</x:v>
      </x:c>
    </x:row>
    <x:row r="28">
      <x:c r="A28" s="23" t="str">
        <x:v>gaussian</x:v>
      </x:c>
      <x:c r="B28" s="23" t="str">
        <x:v>hnmr</x:v>
      </x:c>
      <x:c r="C28" s="23" t="str">
        <x:v>ttn</x:v>
      </x:c>
      <x:c r="D28" s="23" t="n">
        <x:v>41</x:v>
      </x:c>
      <x:c r="E28" s="23" t="n">
        <x:v>600</x:v>
      </x:c>
      <x:c r="F28" s="23"/>
      <x:c r="G28" s="23"/>
      <x:c r="H28" s="23"/>
      <x:c r="I28" s="24" t="n">
        <x:v>0.6821943794885005</x:v>
      </x:c>
      <x:c r="J28" s="24" t="n">
        <x:v>0.2868001180907353</x:v>
      </x:c>
      <x:c r="K28" s="24" t="n">
        <x:v>0.48449724878961786</x:v>
      </x:c>
      <x:c r="L28" s="24" t="n">
        <x:v>0.365567</x:v>
      </x:c>
      <x:c r="M28" s="24" t="n">
        <x:v>0.6828765955390025</x:v>
      </x:c>
      <x:c r="N28" s="24" t="n">
        <x:v>0.28352214303342604</x:v>
      </x:c>
      <x:c r="O28" s="24" t="n">
        <x:v>0.48319936928621426</x:v>
      </x:c>
      <x:c r="P28" s="24" t="n">
        <x:v>0.366054</x:v>
      </x:c>
      <x:c r="Q28" s="24"/>
      <x:c r="R28" s="24"/>
      <x:c r="S28" s="24" t="n">
        <x:v>0.6964</x:v>
      </x:c>
      <x:c r="T28" s="24"/>
      <x:c r="U28" s="24" t="n">
        <x:v>0.669869</x:v>
      </x:c>
      <x:c r="V28" s="24"/>
      <x:c r="W28" s="23" t="n">
        <x:v>77</x:v>
      </x:c>
      <x:c r="X28" s="23" t="n">
        <x:v>97</x:v>
      </x:c>
      <x:c r="Y28" s="25" t="n">
        <x:v>28.503666666666668</x:v>
      </x:c>
      <x:c r="Z28" s="23" t="str">
        <x:v>benchmark/preprocessing_training/dim_600/gaussian/hnmr/seed_41/ttn/metrics.json</x:v>
      </x:c>
    </x:row>
    <x:row r="29">
      <x:c r="A29" s="23" t="str">
        <x:v>gaussian</x:v>
      </x:c>
      <x:c r="B29" s="23" t="str">
        <x:v>hnmr</x:v>
      </x:c>
      <x:c r="C29" s="23" t="str">
        <x:v>xgboost</x:v>
      </x:c>
      <x:c r="D29" s="23" t="n">
        <x:v>41</x:v>
      </x:c>
      <x:c r="E29" s="23" t="n">
        <x:v>600</x:v>
      </x:c>
      <x:c r="F29" s="23" t="n">
        <x:v>635496</x:v>
      </x:c>
      <x:c r="G29" s="23" t="n">
        <x:v>79450</x:v>
      </x:c>
      <x:c r="H29" s="23" t="n">
        <x:v>79457</x:v>
      </x:c>
      <x:c r="I29" s="24" t="n">
        <x:v>0.7577487435380352</x:v>
      </x:c>
      <x:c r="J29" s="24" t="n">
        <x:v>0.3540815482489786</x:v>
      </x:c>
      <x:c r="K29" s="24" t="n">
        <x:v>0.5559151458935069</x:v>
      </x:c>
      <x:c r="L29" s="24"/>
      <x:c r="M29" s="24" t="n">
        <x:v>0.7587062217469062</x:v>
      </x:c>
      <x:c r="N29" s="24" t="n">
        <x:v>0.3415716609959791</x:v>
      </x:c>
      <x:c r="O29" s="24" t="n">
        <x:v>0.5501389413714426</x:v>
      </x:c>
      <x:c r="P29" s="24"/>
      <x:c r="Q29" s="24"/>
      <x:c r="R29" s="24"/>
      <x:c r="S29" s="24"/>
      <x:c r="T29" s="24"/>
      <x:c r="U29" s="24"/>
      <x:c r="V29" s="24"/>
      <x:c r="W29" s="23"/>
      <x:c r="X29" s="23"/>
      <x:c r="Y29" s="25" t="n">
        <x:v>6.88546645148114</x:v>
      </x:c>
      <x:c r="Z29" s="23" t="str">
        <x:v>benchmark/preprocessing_training/dim_600/gaussian/hnmr/seed_41/xgboost/hnmr/original/metrics.json</x:v>
      </x:c>
    </x:row>
    <x:row r="30">
      <x:c r="A30" s="23" t="str">
        <x:v>gaussian</x:v>
      </x:c>
      <x:c r="B30" s="23" t="str">
        <x:v>ir</x:v>
      </x:c>
      <x:c r="C30" s="23" t="str">
        <x:v>cnn</x:v>
      </x:c>
      <x:c r="D30" s="23" t="n">
        <x:v>41</x:v>
      </x:c>
      <x:c r="E30" s="23" t="n">
        <x:v>600</x:v>
      </x:c>
      <x:c r="F30" s="23" t="n">
        <x:v>635496</x:v>
      </x:c>
      <x:c r="G30" s="23" t="n">
        <x:v>79450</x:v>
      </x:c>
      <x:c r="H30" s="23" t="n">
        <x:v>79457</x:v>
      </x:c>
      <x:c r="I30" s="24" t="n">
        <x:v>0.8747312285781194</x:v>
      </x:c>
      <x:c r="J30" s="24" t="n">
        <x:v>0.6451522439605205</x:v>
      </x:c>
      <x:c r="K30" s="24" t="n">
        <x:v>0.7599417362693199</x:v>
      </x:c>
      <x:c r="L30" s="24" t="n">
        <x:v>0.0870136022567749</x:v>
      </x:c>
      <x:c r="M30" s="24" t="n">
        <x:v>0.8749270047262361</x:v>
      </x:c>
      <x:c r="N30" s="24" t="n">
        <x:v>0.6498357253655643</x:v>
      </x:c>
      <x:c r="O30" s="24" t="n">
        <x:v>0.7623813650459002</x:v>
      </x:c>
      <x:c r="P30" s="24"/>
      <x:c r="Q30" s="24"/>
      <x:c r="R30" s="24"/>
      <x:c r="S30" s="24"/>
      <x:c r="T30" s="24"/>
      <x:c r="U30" s="24"/>
      <x:c r="V30" s="24"/>
      <x:c r="W30" s="23" t="n">
        <x:v>53</x:v>
      </x:c>
      <x:c r="X30" s="23" t="n">
        <x:v>54</x:v>
      </x:c>
      <x:c r="Y30" s="25" t="n">
        <x:v>42.20902915211627</x:v>
      </x:c>
      <x:c r="Z30" s="23" t="str">
        <x:v>benchmark/preprocessing_training/dim_600/gaussian/ir/seed_41/cnn/ir/original/metrics.json</x:v>
      </x:c>
    </x:row>
    <x:row r="31">
      <x:c r="A31" s="23" t="str">
        <x:v>gaussian</x:v>
      </x:c>
      <x:c r="B31" s="23" t="str">
        <x:v>ir</x:v>
      </x:c>
      <x:c r="C31" s="23" t="str">
        <x:v>mps</x:v>
      </x:c>
      <x:c r="D31" s="23" t="n">
        <x:v>41</x:v>
      </x:c>
      <x:c r="E31" s="23" t="n">
        <x:v>600</x:v>
      </x:c>
      <x:c r="F31" s="23"/>
      <x:c r="G31" s="23"/>
      <x:c r="H31" s="23"/>
      <x:c r="I31" s="24" t="n">
        <x:v>0.8416</x:v>
      </x:c>
      <x:c r="J31" s="24" t="n">
        <x:v>0.716</x:v>
      </x:c>
      <x:c r="K31" s="24" t="n">
        <x:v>0.7787999999999999</x:v>
      </x:c>
      <x:c r="L31" s="24" t="n">
        <x:v>3.4562</x:v>
      </x:c>
      <x:c r="M31" s="24" t="n">
        <x:v>0.8423809152526879</x:v>
      </x:c>
      <x:c r="N31" s="24" t="n">
        <x:v>0.6877473180036932</x:v>
      </x:c>
      <x:c r="O31" s="24" t="n">
        <x:v>0.7650641166281905</x:v>
      </x:c>
      <x:c r="P31" s="24" t="n">
        <x:v>3.4362</x:v>
      </x:c>
      <x:c r="Q31" s="24" t="n">
        <x:v>0.2519</x:v>
      </x:c>
      <x:c r="R31" s="24" t="n">
        <x:v>0.8437</x:v>
      </x:c>
      <x:c r="S31" s="24" t="n">
        <x:v>0.8602</x:v>
      </x:c>
      <x:c r="T31" s="24" t="n">
        <x:v>0.7331</x:v>
      </x:c>
      <x:c r="U31" s="24" t="n">
        <x:v>0.8253</x:v>
      </x:c>
      <x:c r="V31" s="24" t="n">
        <x:v>0.6691</x:v>
      </x:c>
      <x:c r="W31" s="23" t="n">
        <x:v>152</x:v>
      </x:c>
      <x:c r="X31" s="23" t="n">
        <x:v>162</x:v>
      </x:c>
      <x:c r="Y31" s="25" t="n">
        <x:v>104.6</x:v>
      </x:c>
      <x:c r="Z31" s="23" t="str">
        <x:v>benchmark/preprocessing_training/dim_600/gaussian/ir/seed_41/mps/results/metrics.json</x:v>
      </x:c>
    </x:row>
    <x:row r="32">
      <x:c r="A32" s="23" t="str">
        <x:v>gaussian</x:v>
      </x:c>
      <x:c r="B32" s="23" t="str">
        <x:v>ir</x:v>
      </x:c>
      <x:c r="C32" s="23" t="str">
        <x:v>ttn</x:v>
      </x:c>
      <x:c r="D32" s="23" t="n">
        <x:v>41</x:v>
      </x:c>
      <x:c r="E32" s="23" t="n">
        <x:v>600</x:v>
      </x:c>
      <x:c r="F32" s="23"/>
      <x:c r="G32" s="23"/>
      <x:c r="H32" s="23"/>
      <x:c r="I32" s="24" t="n">
        <x:v>0.8303827341216424</x:v>
      </x:c>
      <x:c r="J32" s="24" t="n">
        <x:v>0.6036306995751446</x:v>
      </x:c>
      <x:c r="K32" s="24" t="n">
        <x:v>0.7170067168483936</x:v>
      </x:c>
      <x:c r="L32" s="24" t="n">
        <x:v>0.185121</x:v>
      </x:c>
      <x:c r="M32" s="24" t="n">
        <x:v>0.8306861424592329</x:v>
      </x:c>
      <x:c r="N32" s="24" t="n">
        <x:v>0.59495678916985</x:v>
      </x:c>
      <x:c r="O32" s="24" t="n">
        <x:v>0.7128214658145414</x:v>
      </x:c>
      <x:c r="P32" s="24" t="n">
        <x:v>0.183746</x:v>
      </x:c>
      <x:c r="Q32" s="24"/>
      <x:c r="R32" s="24"/>
      <x:c r="S32" s="24" t="n">
        <x:v>0.824823</x:v>
      </x:c>
      <x:c r="T32" s="24"/>
      <x:c r="U32" s="24" t="n">
        <x:v>0.836633</x:v>
      </x:c>
      <x:c r="V32" s="24"/>
      <x:c r="W32" s="23" t="n">
        <x:v>51</x:v>
      </x:c>
      <x:c r="X32" s="23" t="n">
        <x:v>71</x:v>
      </x:c>
      <x:c r="Y32" s="25" t="n">
        <x:v>20.940333333333335</x:v>
      </x:c>
      <x:c r="Z32" s="23" t="str">
        <x:v>benchmark/preprocessing_training/dim_600/gaussian/ir/seed_41/ttn/metrics.json</x:v>
      </x:c>
    </x:row>
    <x:row r="33">
      <x:c r="A33" s="23" t="str">
        <x:v>gaussian</x:v>
      </x:c>
      <x:c r="B33" s="23" t="str">
        <x:v>ir</x:v>
      </x:c>
      <x:c r="C33" s="23" t="str">
        <x:v>xgboost</x:v>
      </x:c>
      <x:c r="D33" s="23" t="n">
        <x:v>41</x:v>
      </x:c>
      <x:c r="E33" s="23" t="n">
        <x:v>600</x:v>
      </x:c>
      <x:c r="F33" s="23" t="n">
        <x:v>635496</x:v>
      </x:c>
      <x:c r="G33" s="23" t="n">
        <x:v>79450</x:v>
      </x:c>
      <x:c r="H33" s="23" t="n">
        <x:v>79457</x:v>
      </x:c>
      <x:c r="I33" s="24" t="n">
        <x:v>0.8376008672910566</x:v>
      </x:c>
      <x:c r="J33" s="24" t="n">
        <x:v>0.5592858448319963</x:v>
      </x:c>
      <x:c r="K33" s="24" t="n">
        <x:v>0.6984433560615264</x:v>
      </x:c>
      <x:c r="L33" s="24"/>
      <x:c r="M33" s="24" t="n">
        <x:v>0.8379983676572528</x:v>
      </x:c>
      <x:c r="N33" s="24" t="n">
        <x:v>0.5522277525723633</x:v>
      </x:c>
      <x:c r="O33" s="24" t="n">
        <x:v>0.6951130601148081</x:v>
      </x:c>
      <x:c r="P33" s="24"/>
      <x:c r="Q33" s="24"/>
      <x:c r="R33" s="24"/>
      <x:c r="S33" s="24"/>
      <x:c r="T33" s="24"/>
      <x:c r="U33" s="24"/>
      <x:c r="V33" s="24"/>
      <x:c r="W33" s="23"/>
      <x:c r="X33" s="23"/>
      <x:c r="Y33" s="25" t="n">
        <x:v>10.768710112998573</x:v>
      </x:c>
      <x:c r="Z33" s="23" t="str">
        <x:v>benchmark/preprocessing_training/dim_600/gaussian/ir/seed_41/xgboost/ir/original/metrics.json</x:v>
      </x:c>
    </x:row>
    <x:row r="34">
      <x:c r="A34" s="23" t="str">
        <x:v>gaussian</x:v>
      </x:c>
      <x:c r="B34" s="23" t="str">
        <x:v>msms_neg</x:v>
      </x:c>
      <x:c r="C34" s="23" t="str">
        <x:v>cnn</x:v>
      </x:c>
      <x:c r="D34" s="23" t="n">
        <x:v>41</x:v>
      </x:c>
      <x:c r="E34" s="23" t="n">
        <x:v>600</x:v>
      </x:c>
      <x:c r="F34" s="23" t="n">
        <x:v>635496</x:v>
      </x:c>
      <x:c r="G34" s="23" t="n">
        <x:v>79450</x:v>
      </x:c>
      <x:c r="H34" s="23" t="n">
        <x:v>79457</x:v>
      </x:c>
      <x:c r="I34" s="24" t="n">
        <x:v>0.6425529607683669</x:v>
      </x:c>
      <x:c r="J34" s="24" t="n">
        <x:v>0.11979141442176951</x:v>
      </x:c>
      <x:c r="K34" s="24" t="n">
        <x:v>0.3811721875950682</x:v>
      </x:c>
      <x:c r="L34" s="24" t="n">
        <x:v>0.20007456839084625</x:v>
      </x:c>
      <x:c r="M34" s="24" t="n">
        <x:v>0.6429886439711389</x:v>
      </x:c>
      <x:c r="N34" s="24" t="n">
        <x:v>0.11964324219993179</x:v>
      </x:c>
      <x:c r="O34" s="24" t="n">
        <x:v>0.38131594308553535</x:v>
      </x:c>
      <x:c r="P34" s="24"/>
      <x:c r="Q34" s="24"/>
      <x:c r="R34" s="24"/>
      <x:c r="S34" s="24"/>
      <x:c r="T34" s="24"/>
      <x:c r="U34" s="24"/>
      <x:c r="V34" s="24"/>
      <x:c r="W34" s="23" t="n">
        <x:v>30</x:v>
      </x:c>
      <x:c r="X34" s="23" t="n">
        <x:v>34</x:v>
      </x:c>
      <x:c r="Y34" s="25" t="n">
        <x:v>26.640855294815264</x:v>
      </x:c>
      <x:c r="Z34" s="23" t="str">
        <x:v>benchmark/preprocessing_training/dim_600/gaussian/msms_neg/seed_41/cnn/neg_msms/original/metrics.json</x:v>
      </x:c>
    </x:row>
    <x:row r="35">
      <x:c r="A35" s="23" t="str">
        <x:v>gaussian</x:v>
      </x:c>
      <x:c r="B35" s="23" t="str">
        <x:v>msms_neg</x:v>
      </x:c>
      <x:c r="C35" s="23" t="str">
        <x:v>mps</x:v>
      </x:c>
      <x:c r="D35" s="23" t="n">
        <x:v>41</x:v>
      </x:c>
      <x:c r="E35" s="23" t="n">
        <x:v>600</x:v>
      </x:c>
      <x:c r="F35" s="23"/>
      <x:c r="G35" s="23"/>
      <x:c r="H35" s="23"/>
      <x:c r="I35" s="24" t="n">
        <x:v>0.2941</x:v>
      </x:c>
      <x:c r="J35" s="24" t="n">
        <x:v>0.1697</x:v>
      </x:c>
      <x:c r="K35" s="24" t="n">
        <x:v>0.2319</x:v>
      </x:c>
      <x:c r="L35" s="24" t="n">
        <x:v>1.1919</x:v>
      </x:c>
      <x:c r="M35" s="24" t="n">
        <x:v>0.29366185378514176</x:v>
      </x:c>
      <x:c r="N35" s="24" t="n">
        <x:v>0.1697465418405698</x:v>
      </x:c>
      <x:c r="O35" s="24" t="n">
        <x:v>0.23170419781285578</x:v>
      </x:c>
      <x:c r="P35" s="24" t="n">
        <x:v>1.2064</x:v>
      </x:c>
      <x:c r="Q35" s="24" t="n">
        <x:v>0</x:v>
      </x:c>
      <x:c r="R35" s="24" t="n">
        <x:v>0.5515</x:v>
      </x:c>
      <x:c r="S35" s="24" t="n">
        <x:v>0.1919</x:v>
      </x:c>
      <x:c r="T35" s="24" t="n">
        <x:v>0.1468</x:v>
      </x:c>
      <x:c r="U35" s="24" t="n">
        <x:v>0.6253</x:v>
      </x:c>
      <x:c r="V35" s="24" t="n">
        <x:v>0.5344</x:v>
      </x:c>
      <x:c r="W35" s="23" t="n">
        <x:v>1</x:v>
      </x:c>
      <x:c r="X35" s="23" t="n">
        <x:v>21</x:v>
      </x:c>
      <x:c r="Y35" s="25" t="n">
        <x:v>14.7</x:v>
      </x:c>
      <x:c r="Z35" s="23" t="str">
        <x:v>benchmark/preprocessing_training/dim_600/gaussian/msms_neg/seed_41/mps/results/metrics.json</x:v>
      </x:c>
    </x:row>
    <x:row r="36">
      <x:c r="A36" s="23" t="str">
        <x:v>gaussian</x:v>
      </x:c>
      <x:c r="B36" s="23" t="str">
        <x:v>msms_neg</x:v>
      </x:c>
      <x:c r="C36" s="23" t="str">
        <x:v>ttn</x:v>
      </x:c>
      <x:c r="D36" s="23" t="n">
        <x:v>41</x:v>
      </x:c>
      <x:c r="E36" s="23" t="n">
        <x:v>600</x:v>
      </x:c>
      <x:c r="F36" s="23"/>
      <x:c r="G36" s="23"/>
      <x:c r="H36" s="23"/>
      <x:c r="I36" s="24" t="n">
        <x:v>0.6530680640168136</x:v>
      </x:c>
      <x:c r="J36" s="24" t="n">
        <x:v>0.14021359017800208</x:v>
      </x:c>
      <x:c r="K36" s="24" t="n">
        <x:v>0.39664082709740783</x:v>
      </x:c>
      <x:c r="L36" s="24" t="n">
        <x:v>0.403062</x:v>
      </x:c>
      <x:c r="M36" s="24" t="n">
        <x:v>0.6534886263440594</x:v>
      </x:c>
      <x:c r="N36" s="24" t="n">
        <x:v>0.13978660118375422</x:v>
      </x:c>
      <x:c r="O36" s="24" t="n">
        <x:v>0.39663761376390677</x:v>
      </x:c>
      <x:c r="P36" s="24" t="n">
        <x:v>0.403321</x:v>
      </x:c>
      <x:c r="Q36" s="24"/>
      <x:c r="R36" s="24"/>
      <x:c r="S36" s="24" t="n">
        <x:v>0.708812</x:v>
      </x:c>
      <x:c r="T36" s="24"/>
      <x:c r="U36" s="24" t="n">
        <x:v>0.606176</x:v>
      </x:c>
      <x:c r="V36" s="24"/>
      <x:c r="W36" s="23" t="n">
        <x:v>4</x:v>
      </x:c>
      <x:c r="X36" s="23" t="n">
        <x:v>68</x:v>
      </x:c>
      <x:c r="Y36" s="25" t="n">
        <x:v>19.786166666666666</x:v>
      </x:c>
      <x:c r="Z36" s="23" t="str">
        <x:v>benchmark/preprocessing_training/dim_600/gaussian/msms_neg/seed_41/ttn/metrics.json</x:v>
      </x:c>
    </x:row>
    <x:row r="37">
      <x:c r="A37" s="23" t="str">
        <x:v>gaussian</x:v>
      </x:c>
      <x:c r="B37" s="23" t="str">
        <x:v>msms_neg</x:v>
      </x:c>
      <x:c r="C37" s="23" t="str">
        <x:v>xgboost</x:v>
      </x:c>
      <x:c r="D37" s="23" t="n">
        <x:v>41</x:v>
      </x:c>
      <x:c r="E37" s="23" t="n">
        <x:v>600</x:v>
      </x:c>
      <x:c r="F37" s="23" t="n">
        <x:v>635496</x:v>
      </x:c>
      <x:c r="G37" s="23" t="n">
        <x:v>79450</x:v>
      </x:c>
      <x:c r="H37" s="23" t="n">
        <x:v>79457</x:v>
      </x:c>
      <x:c r="I37" s="24" t="n">
        <x:v>0.6436577826666748</x:v>
      </x:c>
      <x:c r="J37" s="24" t="n">
        <x:v>0.11934534046116438</x:v>
      </x:c>
      <x:c r="K37" s="24" t="n">
        <x:v>0.3815015615639196</x:v>
      </x:c>
      <x:c r="L37" s="24"/>
      <x:c r="M37" s="24" t="n">
        <x:v>0.6440824276085795</x:v>
      </x:c>
      <x:c r="N37" s="24" t="n">
        <x:v>0.11838422557919985</x:v>
      </x:c>
      <x:c r="O37" s="24" t="n">
        <x:v>0.38123332659388964</x:v>
      </x:c>
      <x:c r="P37" s="24"/>
      <x:c r="Q37" s="24"/>
      <x:c r="R37" s="24"/>
      <x:c r="S37" s="24"/>
      <x:c r="T37" s="24"/>
      <x:c r="U37" s="24"/>
      <x:c r="V37" s="24"/>
      <x:c r="W37" s="23"/>
      <x:c r="X37" s="23"/>
      <x:c r="Y37" s="25" t="n">
        <x:v>3.1674871255333223</x:v>
      </x:c>
      <x:c r="Z37" s="23" t="str">
        <x:v>benchmark/preprocessing_training/dim_600/gaussian/msms_neg/seed_41/xgboost/neg_msms/original/metrics.json</x:v>
      </x:c>
    </x:row>
    <x:row r="38">
      <x:c r="A38" s="23" t="str">
        <x:v>gaussian</x:v>
      </x:c>
      <x:c r="B38" s="23" t="str">
        <x:v>msms_pos</x:v>
      </x:c>
      <x:c r="C38" s="23" t="str">
        <x:v>cnn</x:v>
      </x:c>
      <x:c r="D38" s="23" t="n">
        <x:v>41</x:v>
      </x:c>
      <x:c r="E38" s="23" t="n">
        <x:v>600</x:v>
      </x:c>
      <x:c r="F38" s="23" t="n">
        <x:v>635496</x:v>
      </x:c>
      <x:c r="G38" s="23" t="n">
        <x:v>79450</x:v>
      </x:c>
      <x:c r="H38" s="23" t="n">
        <x:v>79457</x:v>
      </x:c>
      <x:c r="I38" s="24" t="n">
        <x:v>0.6429113012270481</x:v>
      </x:c>
      <x:c r="J38" s="24" t="n">
        <x:v>0.10941157405760422</x:v>
      </x:c>
      <x:c r="K38" s="24" t="n">
        <x:v>0.3761614376423262</x:v>
      </x:c>
      <x:c r="L38" s="24" t="n">
        <x:v>0.19500578939914703</x:v>
      </x:c>
      <x:c r="M38" s="24" t="n">
        <x:v>0.6423562678508734</x:v>
      </x:c>
      <x:c r="N38" s="24" t="n">
        <x:v>0.10915740024772104</x:v>
      </x:c>
      <x:c r="O38" s="24" t="n">
        <x:v>0.3757568340492972</x:v>
      </x:c>
      <x:c r="P38" s="24"/>
      <x:c r="Q38" s="24"/>
      <x:c r="R38" s="24"/>
      <x:c r="S38" s="24"/>
      <x:c r="T38" s="24"/>
      <x:c r="U38" s="24"/>
      <x:c r="V38" s="24"/>
      <x:c r="W38" s="23" t="n">
        <x:v>22</x:v>
      </x:c>
      <x:c r="X38" s="23" t="n">
        <x:v>32</x:v>
      </x:c>
      <x:c r="Y38" s="25" t="n">
        <x:v>25.40610075163422</x:v>
      </x:c>
      <x:c r="Z38" s="23" t="str">
        <x:v>benchmark/preprocessing_training/dim_600/gaussian/msms_pos/seed_41/cnn/pos_msms/original/metrics.json</x:v>
      </x:c>
    </x:row>
    <x:row r="39">
      <x:c r="A39" s="23" t="str">
        <x:v>gaussian</x:v>
      </x:c>
      <x:c r="B39" s="23" t="str">
        <x:v>msms_pos</x:v>
      </x:c>
      <x:c r="C39" s="23" t="str">
        <x:v>mps</x:v>
      </x:c>
      <x:c r="D39" s="23" t="n">
        <x:v>41</x:v>
      </x:c>
      <x:c r="E39" s="23" t="n">
        <x:v>600</x:v>
      </x:c>
      <x:c r="F39" s="23"/>
      <x:c r="G39" s="23"/>
      <x:c r="H39" s="23"/>
      <x:c r="I39" s="24" t="n">
        <x:v>0.2849</x:v>
      </x:c>
      <x:c r="J39" s="24" t="n">
        <x:v>0.1728</x:v>
      </x:c>
      <x:c r="K39" s="24" t="n">
        <x:v>0.22885</x:v>
      </x:c>
      <x:c r="L39" s="24" t="n">
        <x:v>1.4709</x:v>
      </x:c>
      <x:c r="M39" s="24" t="n">
        <x:v>0.28460514203155607</x:v>
      </x:c>
      <x:c r="N39" s="24" t="n">
        <x:v>0.17309783982501228</x:v>
      </x:c>
      <x:c r="O39" s="24" t="n">
        <x:v>0.22885149092828416</x:v>
      </x:c>
      <x:c r="P39" s="24" t="n">
        <x:v>1.2359</x:v>
      </x:c>
      <x:c r="Q39" s="24" t="n">
        <x:v>0</x:v>
      </x:c>
      <x:c r="R39" s="24" t="n">
        <x:v>0.5459</x:v>
      </x:c>
      <x:c r="S39" s="24" t="n">
        <x:v>0.1876</x:v>
      </x:c>
      <x:c r="T39" s="24" t="n">
        <x:v>0.1547</x:v>
      </x:c>
      <x:c r="U39" s="24" t="n">
        <x:v>0.5892</x:v>
      </x:c>
      <x:c r="V39" s="24" t="n">
        <x:v>0.5614</x:v>
      </x:c>
      <x:c r="W39" s="23" t="n">
        <x:v>20</x:v>
      </x:c>
      <x:c r="X39" s="23" t="n">
        <x:v>40</x:v>
      </x:c>
      <x:c r="Y39" s="25" t="n">
        <x:v>27.3</x:v>
      </x:c>
      <x:c r="Z39" s="23" t="str">
        <x:v>benchmark/preprocessing_training/dim_600/gaussian/msms_pos/seed_41/mps/results/metrics.json</x:v>
      </x:c>
    </x:row>
    <x:row r="40">
      <x:c r="A40" s="23" t="str">
        <x:v>gaussian</x:v>
      </x:c>
      <x:c r="B40" s="23" t="str">
        <x:v>msms_pos</x:v>
      </x:c>
      <x:c r="C40" s="23" t="str">
        <x:v>ttn</x:v>
      </x:c>
      <x:c r="D40" s="23" t="n">
        <x:v>41</x:v>
      </x:c>
      <x:c r="E40" s="23" t="n">
        <x:v>600</x:v>
      </x:c>
      <x:c r="F40" s="23"/>
      <x:c r="G40" s="23"/>
      <x:c r="H40" s="23"/>
      <x:c r="I40" s="24" t="n">
        <x:v>0.6396918976372</x:v>
      </x:c>
      <x:c r="J40" s="24" t="n">
        <x:v>0.14554416502891568</x:v>
      </x:c>
      <x:c r="K40" s="24" t="n">
        <x:v>0.39261803133305784</x:v>
      </x:c>
      <x:c r="L40" s="24" t="n">
        <x:v>0.402237</x:v>
      </x:c>
      <x:c r="M40" s="24" t="n">
        <x:v>0.6389565924293019</x:v>
      </x:c>
      <x:c r="N40" s="24" t="n">
        <x:v>0.14453143042791813</x:v>
      </x:c>
      <x:c r="O40" s="24" t="n">
        <x:v>0.39174401142861004</x:v>
      </x:c>
      <x:c r="P40" s="24" t="n">
        <x:v>0.402983</x:v>
      </x:c>
      <x:c r="Q40" s="24"/>
      <x:c r="R40" s="24"/>
      <x:c r="S40" s="24" t="n">
        <x:v>0.731368</x:v>
      </x:c>
      <x:c r="T40" s="24"/>
      <x:c r="U40" s="24" t="n">
        <x:v>0.567279</x:v>
      </x:c>
      <x:c r="V40" s="24"/>
      <x:c r="W40" s="23" t="n">
        <x:v>28</x:v>
      </x:c>
      <x:c r="X40" s="23" t="n">
        <x:v>51</x:v>
      </x:c>
      <x:c r="Y40" s="25" t="n">
        <x:v>14.980166666666666</x:v>
      </x:c>
      <x:c r="Z40" s="23" t="str">
        <x:v>benchmark/preprocessing_training/dim_600/gaussian/msms_pos/seed_41/ttn/metrics.json</x:v>
      </x:c>
    </x:row>
    <x:row r="41">
      <x:c r="A41" s="23" t="str">
        <x:v>gaussian</x:v>
      </x:c>
      <x:c r="B41" s="23" t="str">
        <x:v>msms_pos</x:v>
      </x:c>
      <x:c r="C41" s="23" t="str">
        <x:v>xgboost</x:v>
      </x:c>
      <x:c r="D41" s="23" t="n">
        <x:v>41</x:v>
      </x:c>
      <x:c r="E41" s="23" t="n">
        <x:v>600</x:v>
      </x:c>
      <x:c r="F41" s="23" t="n">
        <x:v>635496</x:v>
      </x:c>
      <x:c r="G41" s="23" t="n">
        <x:v>79450</x:v>
      </x:c>
      <x:c r="H41" s="23" t="n">
        <x:v>79457</x:v>
      </x:c>
      <x:c r="I41" s="24" t="n">
        <x:v>0.6406666940350589</x:v>
      </x:c>
      <x:c r="J41" s="24" t="n">
        <x:v>0.1084261476516143</x:v>
      </x:c>
      <x:c r="K41" s="24" t="n">
        <x:v>0.3745464208433366</x:v>
      </x:c>
      <x:c r="L41" s="24"/>
      <x:c r="M41" s="24" t="n">
        <x:v>0.6395892383742161</x:v>
      </x:c>
      <x:c r="N41" s="24" t="n">
        <x:v>0.10882370864656328</x:v>
      </x:c>
      <x:c r="O41" s="24" t="n">
        <x:v>0.3742064735103897</x:v>
      </x:c>
      <x:c r="P41" s="24"/>
      <x:c r="Q41" s="24"/>
      <x:c r="R41" s="24"/>
      <x:c r="S41" s="24"/>
      <x:c r="T41" s="24"/>
      <x:c r="U41" s="24"/>
      <x:c r="V41" s="24"/>
      <x:c r="W41" s="23"/>
      <x:c r="X41" s="23"/>
      <x:c r="Y41" s="25" t="n">
        <x:v>3.4818415629017787</x:v>
      </x:c>
      <x:c r="Z41" s="23" t="str">
        <x:v>benchmark/preprocessing_training/dim_600/gaussian/msms_pos/seed_41/xgboost/pos_msms/original/metrics.json</x:v>
      </x:c>
    </x:row>
    <x:row r="42">
      <x:c r="A42" s="23" t="str">
        <x:v>l2</x:v>
      </x:c>
      <x:c r="B42" s="23" t="str">
        <x:v>cnmr</x:v>
      </x:c>
      <x:c r="C42" s="23" t="str">
        <x:v>cnn</x:v>
      </x:c>
      <x:c r="D42" s="23" t="n">
        <x:v>41</x:v>
      </x:c>
      <x:c r="E42" s="23" t="n">
        <x:v>600</x:v>
      </x:c>
      <x:c r="F42" s="23" t="n">
        <x:v>635496</x:v>
      </x:c>
      <x:c r="G42" s="23" t="n">
        <x:v>79450</x:v>
      </x:c>
      <x:c r="H42" s="23" t="n">
        <x:v>79457</x:v>
      </x:c>
      <x:c r="I42" s="24" t="n">
        <x:v>0.5947567665009915</x:v>
      </x:c>
      <x:c r="J42" s="24" t="n">
        <x:v>0.07336255067428461</x:v>
      </x:c>
      <x:c r="K42" s="24" t="n">
        <x:v>0.3340596585876381</x:v>
      </x:c>
      <x:c r="L42" s="24" t="n">
        <x:v>0.21232923865318298</x:v>
      </x:c>
      <x:c r="M42" s="24" t="n">
        <x:v>0.5947737137468033</x:v>
      </x:c>
      <x:c r="N42" s="24" t="n">
        <x:v>0.07389678285461505</x:v>
      </x:c>
      <x:c r="O42" s="24" t="n">
        <x:v>0.3343352483007092</x:v>
      </x:c>
      <x:c r="P42" s="24"/>
      <x:c r="Q42" s="24"/>
      <x:c r="R42" s="24"/>
      <x:c r="S42" s="24"/>
      <x:c r="T42" s="24"/>
      <x:c r="U42" s="24"/>
      <x:c r="V42" s="24"/>
      <x:c r="W42" s="23" t="n">
        <x:v>10</x:v>
      </x:c>
      <x:c r="X42" s="23" t="n">
        <x:v>35</x:v>
      </x:c>
      <x:c r="Y42" s="25" t="n">
        <x:v>25.413645542333445</x:v>
      </x:c>
      <x:c r="Z42" s="23" t="str">
        <x:v>benchmark/preprocessing_training/dim_600/l2/cnmr/seed_41/cnn/cnmr/original/metrics.json</x:v>
      </x:c>
    </x:row>
    <x:row r="43">
      <x:c r="A43" s="23" t="str">
        <x:v>l2</x:v>
      </x:c>
      <x:c r="B43" s="23" t="str">
        <x:v>cnmr</x:v>
      </x:c>
      <x:c r="C43" s="23" t="str">
        <x:v>mps</x:v>
      </x:c>
      <x:c r="D43" s="23" t="n">
        <x:v>41</x:v>
      </x:c>
      <x:c r="E43" s="23" t="n">
        <x:v>600</x:v>
      </x:c>
      <x:c r="F43" s="23"/>
      <x:c r="G43" s="23"/>
      <x:c r="H43" s="23"/>
      <x:c r="I43" s="24" t="n">
        <x:v>0.6763</x:v>
      </x:c>
      <x:c r="J43" s="24" t="n">
        <x:v>0.3548</x:v>
      </x:c>
      <x:c r="K43" s="24" t="n">
        <x:v>0.51555</x:v>
      </x:c>
      <x:c r="L43" s="24" t="n">
        <x:v>10.4482</x:v>
      </x:c>
      <x:c r="M43" s="24" t="n">
        <x:v>0.676735762335251</x:v>
      </x:c>
      <x:c r="N43" s="24" t="n">
        <x:v>0.34599110083639323</x:v>
      </x:c>
      <x:c r="O43" s="24" t="n">
        <x:v>0.5113634315858221</x:v>
      </x:c>
      <x:c r="P43" s="24" t="n">
        <x:v>10.819</x:v>
      </x:c>
      <x:c r="Q43" s="24" t="n">
        <x:v>0.0466</x:v>
      </x:c>
      <x:c r="R43" s="24" t="n">
        <x:v>0.7043</x:v>
      </x:c>
      <x:c r="S43" s="24" t="n">
        <x:v>0.6292</x:v>
      </x:c>
      <x:c r="T43" s="24" t="n">
        <x:v>0.3232</x:v>
      </x:c>
      <x:c r="U43" s="24" t="n">
        <x:v>0.732</x:v>
      </x:c>
      <x:c r="V43" s="24" t="n">
        <x:v>0.3846</x:v>
      </x:c>
      <x:c r="W43" s="23" t="n">
        <x:v>174</x:v>
      </x:c>
      <x:c r="X43" s="23" t="n">
        <x:v>184</x:v>
      </x:c>
      <x:c r="Y43" s="25" t="n">
        <x:v>262.6</x:v>
      </x:c>
      <x:c r="Z43" s="23" t="str">
        <x:v>benchmark/preprocessing_training/dim_600/l2/cnmr/seed_41/mps/results/metrics.json</x:v>
      </x:c>
    </x:row>
    <x:row r="44">
      <x:c r="A44" s="23" t="str">
        <x:v>l2</x:v>
      </x:c>
      <x:c r="B44" s="23" t="str">
        <x:v>cnmr</x:v>
      </x:c>
      <x:c r="C44" s="23" t="str">
        <x:v>ttn</x:v>
      </x:c>
      <x:c r="D44" s="23" t="n">
        <x:v>41</x:v>
      </x:c>
      <x:c r="E44" s="23" t="n">
        <x:v>600</x:v>
      </x:c>
      <x:c r="F44" s="23"/>
      <x:c r="G44" s="23"/>
      <x:c r="H44" s="23"/>
      <x:c r="I44" s="24" t="n">
        <x:v>0.714238031159984</x:v>
      </x:c>
      <x:c r="J44" s="24" t="n">
        <x:v>0.34150670618569334</x:v>
      </x:c>
      <x:c r="K44" s="24" t="n">
        <x:v>0.5278723686728386</x:v>
      </x:c>
      <x:c r="L44" s="24" t="n">
        <x:v>0.337173</x:v>
      </x:c>
      <x:c r="M44" s="24" t="n">
        <x:v>0.7153224831703356</x:v>
      </x:c>
      <x:c r="N44" s="24" t="n">
        <x:v>0.3329974575679862</x:v>
      </x:c>
      <x:c r="O44" s="24" t="n">
        <x:v>0.524159970369161</x:v>
      </x:c>
      <x:c r="P44" s="24" t="n">
        <x:v>0.337323</x:v>
      </x:c>
      <x:c r="Q44" s="24"/>
      <x:c r="R44" s="24"/>
      <x:c r="S44" s="24" t="n">
        <x:v>0.713558</x:v>
      </x:c>
      <x:c r="T44" s="24"/>
      <x:c r="U44" s="24" t="n">
        <x:v>0.717096</x:v>
      </x:c>
      <x:c r="V44" s="24"/>
      <x:c r="W44" s="23" t="n">
        <x:v>49</x:v>
      </x:c>
      <x:c r="X44" s="23" t="n">
        <x:v>69</x:v>
      </x:c>
      <x:c r="Y44" s="25" t="n">
        <x:v>19.630666666666666</x:v>
      </x:c>
      <x:c r="Z44" s="23" t="str">
        <x:v>benchmark/preprocessing_training/dim_600/l2/cnmr/seed_41/ttn/metrics.json</x:v>
      </x:c>
    </x:row>
    <x:row r="45">
      <x:c r="A45" s="23" t="str">
        <x:v>l2</x:v>
      </x:c>
      <x:c r="B45" s="23" t="str">
        <x:v>cnmr</x:v>
      </x:c>
      <x:c r="C45" s="23" t="str">
        <x:v>xgboost</x:v>
      </x:c>
      <x:c r="D45" s="23" t="n">
        <x:v>41</x:v>
      </x:c>
      <x:c r="E45" s="23" t="n">
        <x:v>600</x:v>
      </x:c>
      <x:c r="F45" s="23" t="n">
        <x:v>635496</x:v>
      </x:c>
      <x:c r="G45" s="23" t="n">
        <x:v>79450</x:v>
      </x:c>
      <x:c r="H45" s="23" t="n">
        <x:v>79457</x:v>
      </x:c>
      <x:c r="I45" s="24" t="n">
        <x:v>0.7734096096447591</x:v>
      </x:c>
      <x:c r="J45" s="24" t="n">
        <x:v>0.35746118455073256</x:v>
      </x:c>
      <x:c r="K45" s="24" t="n">
        <x:v>0.5654353970977458</x:v>
      </x:c>
      <x:c r="L45" s="24"/>
      <x:c r="M45" s="24" t="n">
        <x:v>0.7735554170215382</x:v>
      </x:c>
      <x:c r="N45" s="24" t="n">
        <x:v>0.34911303867075105</x:v>
      </x:c>
      <x:c r="O45" s="24" t="n">
        <x:v>0.5613342278461446</x:v>
      </x:c>
      <x:c r="P45" s="24"/>
      <x:c r="Q45" s="24"/>
      <x:c r="R45" s="24"/>
      <x:c r="S45" s="24"/>
      <x:c r="T45" s="24"/>
      <x:c r="U45" s="24"/>
      <x:c r="V45" s="24"/>
      <x:c r="W45" s="23"/>
      <x:c r="X45" s="23"/>
      <x:c r="Y45" s="25" t="n">
        <x:v>5.255558223484938</x:v>
      </x:c>
      <x:c r="Z45" s="23" t="str">
        <x:v>benchmark/preprocessing_training/dim_600/l2/cnmr/seed_41/xgboost/cnmr/original/metrics.json</x:v>
      </x:c>
    </x:row>
    <x:row r="46">
      <x:c r="A46" s="23" t="str">
        <x:v>l2</x:v>
      </x:c>
      <x:c r="B46" s="23" t="str">
        <x:v>hnmr</x:v>
      </x:c>
      <x:c r="C46" s="23" t="str">
        <x:v>cnn</x:v>
      </x:c>
      <x:c r="D46" s="23" t="n">
        <x:v>41</x:v>
      </x:c>
      <x:c r="E46" s="23" t="n">
        <x:v>600</x:v>
      </x:c>
      <x:c r="F46" s="23" t="n">
        <x:v>635496</x:v>
      </x:c>
      <x:c r="G46" s="23" t="n">
        <x:v>79450</x:v>
      </x:c>
      <x:c r="H46" s="23" t="n">
        <x:v>79457</x:v>
      </x:c>
      <x:c r="I46" s="24" t="n">
        <x:v>0.677473289812725</x:v>
      </x:c>
      <x:c r="J46" s="24" t="n">
        <x:v>0.17426812070340308</x:v>
      </x:c>
      <x:c r="K46" s="24" t="n">
        <x:v>0.42587070525806403</x:v>
      </x:c>
      <x:c r="L46" s="24" t="n">
        <x:v>0.2712303102016449</x:v>
      </x:c>
      <x:c r="M46" s="24" t="n">
        <x:v>0.6775905971716707</x:v>
      </x:c>
      <x:c r="N46" s="24" t="n">
        <x:v>0.1756482070771387</x:v>
      </x:c>
      <x:c r="O46" s="24" t="n">
        <x:v>0.4266194021244047</x:v>
      </x:c>
      <x:c r="P46" s="24"/>
      <x:c r="Q46" s="24"/>
      <x:c r="R46" s="24"/>
      <x:c r="S46" s="24"/>
      <x:c r="T46" s="24"/>
      <x:c r="U46" s="24"/>
      <x:c r="V46" s="24"/>
      <x:c r="W46" s="23" t="n">
        <x:v>23</x:v>
      </x:c>
      <x:c r="X46" s="23" t="n">
        <x:v>26</x:v>
      </x:c>
      <x:c r="Y46" s="25" t="n">
        <x:v>18.673417530300018</x:v>
      </x:c>
      <x:c r="Z46" s="23" t="str">
        <x:v>benchmark/preprocessing_training/dim_600/l2/hnmr/seed_41/cnn/hnmr/original/metrics.json</x:v>
      </x:c>
    </x:row>
    <x:row r="47">
      <x:c r="A47" s="23" t="str">
        <x:v>l2</x:v>
      </x:c>
      <x:c r="B47" s="23" t="str">
        <x:v>hnmr</x:v>
      </x:c>
      <x:c r="C47" s="23" t="str">
        <x:v>mps</x:v>
      </x:c>
      <x:c r="D47" s="23" t="n">
        <x:v>41</x:v>
      </x:c>
      <x:c r="E47" s="23" t="n">
        <x:v>600</x:v>
      </x:c>
      <x:c r="F47" s="23"/>
      <x:c r="G47" s="23"/>
      <x:c r="H47" s="23"/>
      <x:c r="I47" s="24" t="n">
        <x:v>0.7017</x:v>
      </x:c>
      <x:c r="J47" s="24" t="n">
        <x:v>0.3741</x:v>
      </x:c>
      <x:c r="K47" s="24" t="n">
        <x:v>0.5379</x:v>
      </x:c>
      <x:c r="L47" s="24" t="n">
        <x:v>10.2251</x:v>
      </x:c>
      <x:c r="M47" s="24" t="n">
        <x:v>0.7009996144844801</x:v>
      </x:c>
      <x:c r="N47" s="24" t="n">
        <x:v>0.3632982326187527</x:v>
      </x:c>
      <x:c r="O47" s="24" t="n">
        <x:v>0.5321489235516164</x:v>
      </x:c>
      <x:c r="P47" s="24" t="n">
        <x:v>10.085</x:v>
      </x:c>
      <x:c r="Q47" s="24" t="n">
        <x:v>0.0779</x:v>
      </x:c>
      <x:c r="R47" s="24" t="n">
        <x:v>0.707</x:v>
      </x:c>
      <x:c r="S47" s="24" t="n">
        <x:v>0.691</x:v>
      </x:c>
      <x:c r="T47" s="24" t="n">
        <x:v>0.3885</x:v>
      </x:c>
      <x:c r="U47" s="24" t="n">
        <x:v>0.7113</x:v>
      </x:c>
      <x:c r="V47" s="24" t="n">
        <x:v>0.3518</x:v>
      </x:c>
      <x:c r="W47" s="23" t="n">
        <x:v>167</x:v>
      </x:c>
      <x:c r="X47" s="23" t="n">
        <x:v>167</x:v>
      </x:c>
      <x:c r="Y47" s="25" t="n">
        <x:v>109.3</x:v>
      </x:c>
      <x:c r="Z47" s="23" t="str">
        <x:v>benchmark/preprocessing_training/dim_600/l2/hnmr/seed_41/mps/results/metrics.json</x:v>
      </x:c>
    </x:row>
    <x:row r="48">
      <x:c r="A48" s="23" t="str">
        <x:v>l2</x:v>
      </x:c>
      <x:c r="B48" s="23" t="str">
        <x:v>hnmr</x:v>
      </x:c>
      <x:c r="C48" s="23" t="str">
        <x:v>ttn</x:v>
      </x:c>
      <x:c r="D48" s="23" t="n">
        <x:v>41</x:v>
      </x:c>
      <x:c r="E48" s="23" t="n">
        <x:v>600</x:v>
      </x:c>
      <x:c r="F48" s="23"/>
      <x:c r="G48" s="23"/>
      <x:c r="H48" s="23"/>
      <x:c r="I48" s="24" t="n">
        <x:v>0.6898022920361009</x:v>
      </x:c>
      <x:c r="J48" s="24" t="n">
        <x:v>0.30577457048226453</x:v>
      </x:c>
      <x:c r="K48" s="24" t="n">
        <x:v>0.4977884312591827</x:v>
      </x:c>
      <x:c r="L48" s="24" t="n">
        <x:v>0.383208</x:v>
      </x:c>
      <x:c r="M48" s="24" t="n">
        <x:v>0.6897198536434371</x:v>
      </x:c>
      <x:c r="N48" s="24" t="n">
        <x:v>0.2982934058767152</x:v>
      </x:c>
      <x:c r="O48" s="24" t="n">
        <x:v>0.49400662976007614</x:v>
      </x:c>
      <x:c r="P48" s="24" t="n">
        <x:v>0.383967</x:v>
      </x:c>
      <x:c r="Q48" s="24"/>
      <x:c r="R48" s="24"/>
      <x:c r="S48" s="24" t="n">
        <x:v>0.692755</x:v>
      </x:c>
      <x:c r="T48" s="24"/>
      <x:c r="U48" s="24" t="n">
        <x:v>0.686711</x:v>
      </x:c>
      <x:c r="V48" s="24"/>
      <x:c r="W48" s="23" t="n">
        <x:v>69</x:v>
      </x:c>
      <x:c r="X48" s="23" t="n">
        <x:v>78</x:v>
      </x:c>
      <x:c r="Y48" s="25" t="n">
        <x:v>22.209999999999997</x:v>
      </x:c>
      <x:c r="Z48" s="23" t="str">
        <x:v>benchmark/preprocessing_training/dim_600/l2/hnmr/seed_41/ttn/metrics.json</x:v>
      </x:c>
    </x:row>
    <x:row r="49">
      <x:c r="A49" s="23" t="str">
        <x:v>l2</x:v>
      </x:c>
      <x:c r="B49" s="23" t="str">
        <x:v>hnmr</x:v>
      </x:c>
      <x:c r="C49" s="23" t="str">
        <x:v>xgboost</x:v>
      </x:c>
      <x:c r="D49" s="23" t="n">
        <x:v>41</x:v>
      </x:c>
      <x:c r="E49" s="23" t="n">
        <x:v>600</x:v>
      </x:c>
      <x:c r="F49" s="23" t="n">
        <x:v>635496</x:v>
      </x:c>
      <x:c r="G49" s="23" t="n">
        <x:v>79450</x:v>
      </x:c>
      <x:c r="H49" s="23" t="n">
        <x:v>79457</x:v>
      </x:c>
      <x:c r="I49" s="24" t="n">
        <x:v>0.7480818048284433</x:v>
      </x:c>
      <x:c r="J49" s="24" t="n">
        <x:v>0.3215084418423273</x:v>
      </x:c>
      <x:c r="K49" s="24" t="n">
        <x:v>0.5347951233353854</x:v>
      </x:c>
      <x:c r="L49" s="24"/>
      <x:c r="M49" s="24" t="n">
        <x:v>0.7484016626928027</x:v>
      </x:c>
      <x:c r="N49" s="24" t="n">
        <x:v>0.30962999521424556</x:v>
      </x:c>
      <x:c r="O49" s="24" t="n">
        <x:v>0.5290158289535242</x:v>
      </x:c>
      <x:c r="P49" s="24"/>
      <x:c r="Q49" s="24"/>
      <x:c r="R49" s="24"/>
      <x:c r="S49" s="24"/>
      <x:c r="T49" s="24"/>
      <x:c r="U49" s="24"/>
      <x:c r="V49" s="24"/>
      <x:c r="W49" s="23"/>
      <x:c r="X49" s="23"/>
      <x:c r="Y49" s="25" t="n">
        <x:v>5.260260026201528</x:v>
      </x:c>
      <x:c r="Z49" s="23" t="str">
        <x:v>benchmark/preprocessing_training/dim_600/l2/hnmr/seed_41/xgboost/hnmr/original/metrics.json</x:v>
      </x:c>
    </x:row>
    <x:row r="50">
      <x:c r="A50" s="23" t="str">
        <x:v>l2</x:v>
      </x:c>
      <x:c r="B50" s="23" t="str">
        <x:v>ir</x:v>
      </x:c>
      <x:c r="C50" s="23" t="str">
        <x:v>cnn</x:v>
      </x:c>
      <x:c r="D50" s="23" t="n">
        <x:v>41</x:v>
      </x:c>
      <x:c r="E50" s="23" t="n">
        <x:v>600</x:v>
      </x:c>
      <x:c r="F50" s="23" t="n">
        <x:v>635496</x:v>
      </x:c>
      <x:c r="G50" s="23" t="n">
        <x:v>79450</x:v>
      </x:c>
      <x:c r="H50" s="23" t="n">
        <x:v>79457</x:v>
      </x:c>
      <x:c r="I50" s="24" t="n">
        <x:v>0.8919854127862498</x:v>
      </x:c>
      <x:c r="J50" s="24" t="n">
        <x:v>0.669506108586714</x:v>
      </x:c>
      <x:c r="K50" s="24" t="n">
        <x:v>0.7807457606864818</x:v>
      </x:c>
      <x:c r="L50" s="24" t="n">
        <x:v>0.07654821127653122</x:v>
      </x:c>
      <x:c r="M50" s="24" t="n">
        <x:v>0.8922887673788298</x:v>
      </x:c>
      <x:c r="N50" s="24" t="n">
        <x:v>0.6750936309480564</x:v>
      </x:c>
      <x:c r="O50" s="24" t="n">
        <x:v>0.7836911991634431</x:v>
      </x:c>
      <x:c r="P50" s="24"/>
      <x:c r="Q50" s="24"/>
      <x:c r="R50" s="24"/>
      <x:c r="S50" s="24"/>
      <x:c r="T50" s="24"/>
      <x:c r="U50" s="24"/>
      <x:c r="V50" s="24"/>
      <x:c r="W50" s="23" t="n">
        <x:v>45</x:v>
      </x:c>
      <x:c r="X50" s="23" t="n">
        <x:v>55</x:v>
      </x:c>
      <x:c r="Y50" s="25" t="n">
        <x:v>39.08808464188284</x:v>
      </x:c>
      <x:c r="Z50" s="23" t="str">
        <x:v>benchmark/preprocessing_training/dim_600/l2/ir/seed_41/cnn/ir/original/metrics.json</x:v>
      </x:c>
    </x:row>
    <x:row r="51">
      <x:c r="A51" s="23" t="str">
        <x:v>l2</x:v>
      </x:c>
      <x:c r="B51" s="23" t="str">
        <x:v>ir</x:v>
      </x:c>
      <x:c r="C51" s="23" t="str">
        <x:v>mps</x:v>
      </x:c>
      <x:c r="D51" s="23" t="n">
        <x:v>41</x:v>
      </x:c>
      <x:c r="E51" s="23" t="n">
        <x:v>600</x:v>
      </x:c>
      <x:c r="F51" s="23"/>
      <x:c r="G51" s="23"/>
      <x:c r="H51" s="23"/>
      <x:c r="I51" s="24" t="n">
        <x:v>0.8437</x:v>
      </x:c>
      <x:c r="J51" s="24" t="n">
        <x:v>0.6752</x:v>
      </x:c>
      <x:c r="K51" s="24" t="n">
        <x:v>0.75945</x:v>
      </x:c>
      <x:c r="L51" s="24" t="n">
        <x:v>4.0079</x:v>
      </x:c>
      <x:c r="M51" s="24" t="n">
        <x:v>0.8438813769624935</x:v>
      </x:c>
      <x:c r="N51" s="24" t="n">
        <x:v>0.6771603257879429</x:v>
      </x:c>
      <x:c r="O51" s="24" t="n">
        <x:v>0.7605208513752182</x:v>
      </x:c>
      <x:c r="P51" s="24" t="n">
        <x:v>3.787</x:v>
      </x:c>
      <x:c r="Q51" s="24" t="n">
        <x:v>0.2609</x:v>
      </x:c>
      <x:c r="R51" s="24" t="n">
        <x:v>0.8435</x:v>
      </x:c>
      <x:c r="S51" s="24" t="n">
        <x:v>0.8676</x:v>
      </x:c>
      <x:c r="T51" s="24" t="n">
        <x:v>0.7451</x:v>
      </x:c>
      <x:c r="U51" s="24" t="n">
        <x:v>0.8214</x:v>
      </x:c>
      <x:c r="V51" s="24" t="n">
        <x:v>0.6444</x:v>
      </x:c>
      <x:c r="W51" s="23" t="n">
        <x:v>167</x:v>
      </x:c>
      <x:c r="X51" s="23" t="n">
        <x:v>172</x:v>
      </x:c>
      <x:c r="Y51" s="25" t="n">
        <x:v>112.3</x:v>
      </x:c>
      <x:c r="Z51" s="23" t="str">
        <x:v>benchmark/preprocessing_training/dim_600/l2/ir/seed_41/mps/results/metrics.json</x:v>
      </x:c>
    </x:row>
    <x:row r="52">
      <x:c r="A52" s="23" t="str">
        <x:v>l2</x:v>
      </x:c>
      <x:c r="B52" s="23" t="str">
        <x:v>ir</x:v>
      </x:c>
      <x:c r="C52" s="23" t="str">
        <x:v>ttn</x:v>
      </x:c>
      <x:c r="D52" s="23" t="n">
        <x:v>41</x:v>
      </x:c>
      <x:c r="E52" s="23" t="n">
        <x:v>600</x:v>
      </x:c>
      <x:c r="F52" s="23"/>
      <x:c r="G52" s="23"/>
      <x:c r="H52" s="23"/>
      <x:c r="I52" s="24" t="n">
        <x:v>0.8275491190537266</x:v>
      </x:c>
      <x:c r="J52" s="24" t="n">
        <x:v>0.6160668294331129</x:v>
      </x:c>
      <x:c r="K52" s="24" t="n">
        <x:v>0.7218079742434198</x:v>
      </x:c>
      <x:c r="L52" s="24" t="n">
        <x:v>0.183633</x:v>
      </x:c>
      <x:c r="M52" s="24" t="n">
        <x:v>0.8279419538119827</x:v>
      </x:c>
      <x:c r="N52" s="24" t="n">
        <x:v>0.5852806400596903</x:v>
      </x:c>
      <x:c r="O52" s="24" t="n">
        <x:v>0.7066112969358365</x:v>
      </x:c>
      <x:c r="P52" s="24" t="n">
        <x:v>0.183098</x:v>
      </x:c>
      <x:c r="Q52" s="24"/>
      <x:c r="R52" s="24"/>
      <x:c r="S52" s="24" t="n">
        <x:v>0.818559</x:v>
      </x:c>
      <x:c r="T52" s="24"/>
      <x:c r="U52" s="24" t="n">
        <x:v>0.837542</x:v>
      </x:c>
      <x:c r="V52" s="24"/>
      <x:c r="W52" s="23" t="n">
        <x:v>29</x:v>
      </x:c>
      <x:c r="X52" s="23" t="n">
        <x:v>83</x:v>
      </x:c>
      <x:c r="Y52" s="25" t="n">
        <x:v>24.04733333333333</x:v>
      </x:c>
      <x:c r="Z52" s="23" t="str">
        <x:v>benchmark/preprocessing_training/dim_600/l2/ir/seed_41/ttn/metrics.json</x:v>
      </x:c>
    </x:row>
    <x:row r="53">
      <x:c r="A53" s="23" t="str">
        <x:v>l2</x:v>
      </x:c>
      <x:c r="B53" s="23" t="str">
        <x:v>ir</x:v>
      </x:c>
      <x:c r="C53" s="23" t="str">
        <x:v>xgboost</x:v>
      </x:c>
      <x:c r="D53" s="23" t="n">
        <x:v>41</x:v>
      </x:c>
      <x:c r="E53" s="23" t="n">
        <x:v>600</x:v>
      </x:c>
      <x:c r="F53" s="23" t="n">
        <x:v>635496</x:v>
      </x:c>
      <x:c r="G53" s="23" t="n">
        <x:v>79450</x:v>
      </x:c>
      <x:c r="H53" s="23" t="n">
        <x:v>79457</x:v>
      </x:c>
      <x:c r="I53" s="24" t="n">
        <x:v>0.8396345512627834</x:v>
      </x:c>
      <x:c r="J53" s="24" t="n">
        <x:v>0.5570170469963897</x:v>
      </x:c>
      <x:c r="K53" s="24" t="n">
        <x:v>0.6983257991295866</x:v>
      </x:c>
      <x:c r="L53" s="24"/>
      <x:c r="M53" s="24" t="n">
        <x:v>0.8405948277670188</x:v>
      </x:c>
      <x:c r="N53" s="24" t="n">
        <x:v>0.5513275614454761</x:v>
      </x:c>
      <x:c r="O53" s="24" t="n">
        <x:v>0.6959611946062474</x:v>
      </x:c>
      <x:c r="P53" s="24"/>
      <x:c r="Q53" s="24"/>
      <x:c r="R53" s="24"/>
      <x:c r="S53" s="24"/>
      <x:c r="T53" s="24"/>
      <x:c r="U53" s="24"/>
      <x:c r="V53" s="24"/>
      <x:c r="W53" s="23"/>
      <x:c r="X53" s="23"/>
      <x:c r="Y53" s="25" t="n">
        <x:v>5.847090419583643</x:v>
      </x:c>
      <x:c r="Z53" s="23" t="str">
        <x:v>benchmark/preprocessing_training/dim_600/l2/ir/seed_41/xgboost/ir/original/metrics.json</x:v>
      </x:c>
    </x:row>
    <x:row r="54">
      <x:c r="A54" s="23" t="str">
        <x:v>l2</x:v>
      </x:c>
      <x:c r="B54" s="23" t="str">
        <x:v>msms_neg</x:v>
      </x:c>
      <x:c r="C54" s="23" t="str">
        <x:v>cnn</x:v>
      </x:c>
      <x:c r="D54" s="23" t="n">
        <x:v>41</x:v>
      </x:c>
      <x:c r="E54" s="23" t="n">
        <x:v>600</x:v>
      </x:c>
      <x:c r="F54" s="23" t="n">
        <x:v>635496</x:v>
      </x:c>
      <x:c r="G54" s="23" t="n">
        <x:v>79450</x:v>
      </x:c>
      <x:c r="H54" s="23" t="n">
        <x:v>79457</x:v>
      </x:c>
      <x:c r="I54" s="24" t="n">
        <x:v>0.6411839019337229</x:v>
      </x:c>
      <x:c r="J54" s="24" t="n">
        <x:v>0.11267109474109543</x:v>
      </x:c>
      <x:c r="K54" s="24" t="n">
        <x:v>0.37692749833740913</x:v>
      </x:c>
      <x:c r="L54" s="24" t="n">
        <x:v>0.23215657472610474</x:v>
      </x:c>
      <x:c r="M54" s="24" t="n">
        <x:v>0.6413840072933114</x:v>
      </x:c>
      <x:c r="N54" s="24" t="n">
        <x:v>0.11297635300604206</x:v>
      </x:c>
      <x:c r="O54" s="24" t="n">
        <x:v>0.3771801801496767</x:v>
      </x:c>
      <x:c r="P54" s="24"/>
      <x:c r="Q54" s="24"/>
      <x:c r="R54" s="24"/>
      <x:c r="S54" s="24"/>
      <x:c r="T54" s="24"/>
      <x:c r="U54" s="24"/>
      <x:c r="V54" s="24"/>
      <x:c r="W54" s="23" t="n">
        <x:v>29</x:v>
      </x:c>
      <x:c r="X54" s="23" t="n">
        <x:v>33</x:v>
      </x:c>
      <x:c r="Y54" s="25" t="n">
        <x:v>23.534944109799106</x:v>
      </x:c>
      <x:c r="Z54" s="23" t="str">
        <x:v>benchmark/preprocessing_training/dim_600/l2/msms_neg/seed_41/cnn/neg_msms/original/metrics.json</x:v>
      </x:c>
    </x:row>
    <x:row r="55">
      <x:c r="A55" s="23" t="str">
        <x:v>l2</x:v>
      </x:c>
      <x:c r="B55" s="23" t="str">
        <x:v>msms_neg</x:v>
      </x:c>
      <x:c r="C55" s="23" t="str">
        <x:v>mps</x:v>
      </x:c>
      <x:c r="D55" s="23" t="n">
        <x:v>41</x:v>
      </x:c>
      <x:c r="E55" s="23" t="n">
        <x:v>600</x:v>
      </x:c>
      <x:c r="F55" s="23"/>
      <x:c r="G55" s="23"/>
      <x:c r="H55" s="23"/>
      <x:c r="I55" s="24" t="n">
        <x:v>0.2851</x:v>
      </x:c>
      <x:c r="J55" s="24" t="n">
        <x:v>0.1742</x:v>
      </x:c>
      <x:c r="K55" s="24" t="n">
        <x:v>0.22965000000000002</x:v>
      </x:c>
      <x:c r="L55" s="24" t="n">
        <x:v>1.25</x:v>
      </x:c>
      <x:c r="M55" s="24" t="n">
        <x:v>0.2841817711304054</x:v>
      </x:c>
      <x:c r="N55" s="24" t="n">
        <x:v>0.17394066486976312</x:v>
      </x:c>
      <x:c r="O55" s="24" t="n">
        <x:v>0.22906121800008425</x:v>
      </x:c>
      <x:c r="P55" s="24" t="n">
        <x:v>1.4685</x:v>
      </x:c>
      <x:c r="Q55" s="24" t="n">
        <x:v>0</x:v>
      </x:c>
      <x:c r="R55" s="24" t="n">
        <x:v>0.5398</x:v>
      </x:c>
      <x:c r="S55" s="24" t="n">
        <x:v>0.1896</x:v>
      </x:c>
      <x:c r="T55" s="24" t="n">
        <x:v>0.1583</x:v>
      </x:c>
      <x:c r="U55" s="24" t="n">
        <x:v>0.567</x:v>
      </x:c>
      <x:c r="V55" s="24" t="n">
        <x:v>0.5613</x:v>
      </x:c>
      <x:c r="W55" s="23" t="n">
        <x:v>20</x:v>
      </x:c>
      <x:c r="X55" s="23" t="n">
        <x:v>40</x:v>
      </x:c>
      <x:c r="Y55" s="25" t="n">
        <x:v>27.3</x:v>
      </x:c>
      <x:c r="Z55" s="23" t="str">
        <x:v>benchmark/preprocessing_training/dim_600/l2/msms_neg/seed_41/mps/results/metrics.json</x:v>
      </x:c>
    </x:row>
    <x:row r="56">
      <x:c r="A56" s="23" t="str">
        <x:v>l2</x:v>
      </x:c>
      <x:c r="B56" s="23" t="str">
        <x:v>msms_neg</x:v>
      </x:c>
      <x:c r="C56" s="23" t="str">
        <x:v>ttn</x:v>
      </x:c>
      <x:c r="D56" s="23" t="n">
        <x:v>41</x:v>
      </x:c>
      <x:c r="E56" s="23" t="n">
        <x:v>600</x:v>
      </x:c>
      <x:c r="F56" s="23"/>
      <x:c r="G56" s="23"/>
      <x:c r="H56" s="23"/>
      <x:c r="I56" s="24" t="n">
        <x:v>0.6421063692538507</x:v>
      </x:c>
      <x:c r="J56" s="24" t="n">
        <x:v>0.14888975443183156</x:v>
      </x:c>
      <x:c r="K56" s="24" t="n">
        <x:v>0.3954980618428411</x:v>
      </x:c>
      <x:c r="L56" s="24" t="n">
        <x:v>0.401351</x:v>
      </x:c>
      <x:c r="M56" s="24" t="n">
        <x:v>0.6422008974317803</x:v>
      </x:c>
      <x:c r="N56" s="24" t="n">
        <x:v>0.14806204437592538</x:v>
      </x:c>
      <x:c r="O56" s="24" t="n">
        <x:v>0.39513147090385287</x:v>
      </x:c>
      <x:c r="P56" s="24" t="n">
        <x:v>0.401916</x:v>
      </x:c>
      <x:c r="Q56" s="24"/>
      <x:c r="R56" s="24"/>
      <x:c r="S56" s="24" t="n">
        <x:v>0.720216</x:v>
      </x:c>
      <x:c r="T56" s="24"/>
      <x:c r="U56" s="24" t="n">
        <x:v>0.579435</x:v>
      </x:c>
      <x:c r="V56" s="24"/>
      <x:c r="W56" s="23" t="n">
        <x:v>39</x:v>
      </x:c>
      <x:c r="X56" s="23" t="n">
        <x:v>59</x:v>
      </x:c>
      <x:c r="Y56" s="25" t="n">
        <x:v>16.685</x:v>
      </x:c>
      <x:c r="Z56" s="23" t="str">
        <x:v>benchmark/preprocessing_training/dim_600/l2/msms_neg/seed_41/ttn/metrics.json</x:v>
      </x:c>
    </x:row>
    <x:row r="57">
      <x:c r="A57" s="23" t="str">
        <x:v>l2</x:v>
      </x:c>
      <x:c r="B57" s="23" t="str">
        <x:v>msms_neg</x:v>
      </x:c>
      <x:c r="C57" s="23" t="str">
        <x:v>xgboost</x:v>
      </x:c>
      <x:c r="D57" s="23" t="n">
        <x:v>41</x:v>
      </x:c>
      <x:c r="E57" s="23" t="n">
        <x:v>600</x:v>
      </x:c>
      <x:c r="F57" s="23" t="n">
        <x:v>635496</x:v>
      </x:c>
      <x:c r="G57" s="23" t="n">
        <x:v>79450</x:v>
      </x:c>
      <x:c r="H57" s="23" t="n">
        <x:v>79457</x:v>
      </x:c>
      <x:c r="I57" s="24" t="n">
        <x:v>0.6236406246732754</x:v>
      </x:c>
      <x:c r="J57" s="24" t="n">
        <x:v>0.10815087691995988</x:v>
      </x:c>
      <x:c r="K57" s="24" t="n">
        <x:v>0.3658957507966176</x:v>
      </x:c>
      <x:c r="L57" s="24"/>
      <x:c r="M57" s="24" t="n">
        <x:v>0.6235371563494375</x:v>
      </x:c>
      <x:c r="N57" s="24" t="n">
        <x:v>0.10807734327655803</x:v>
      </x:c>
      <x:c r="O57" s="24" t="n">
        <x:v>0.3658072498129978</x:v>
      </x:c>
      <x:c r="P57" s="24"/>
      <x:c r="Q57" s="24"/>
      <x:c r="R57" s="24"/>
      <x:c r="S57" s="24"/>
      <x:c r="T57" s="24"/>
      <x:c r="U57" s="24"/>
      <x:c r="V57" s="24"/>
      <x:c r="W57" s="23"/>
      <x:c r="X57" s="23"/>
      <x:c r="Y57" s="25" t="n">
        <x:v>2.3206452235172037</x:v>
      </x:c>
      <x:c r="Z57" s="23" t="str">
        <x:v>benchmark/preprocessing_training/dim_600/l2/msms_neg/seed_41/xgboost/neg_msms/original/metrics.json</x:v>
      </x:c>
    </x:row>
    <x:row r="58">
      <x:c r="A58" s="23" t="str">
        <x:v>l2</x:v>
      </x:c>
      <x:c r="B58" s="23" t="str">
        <x:v>msms_pos</x:v>
      </x:c>
      <x:c r="C58" s="23" t="str">
        <x:v>cnn</x:v>
      </x:c>
      <x:c r="D58" s="23" t="n">
        <x:v>41</x:v>
      </x:c>
      <x:c r="E58" s="23" t="n">
        <x:v>600</x:v>
      </x:c>
      <x:c r="F58" s="23" t="n">
        <x:v>635496</x:v>
      </x:c>
      <x:c r="G58" s="23" t="n">
        <x:v>79450</x:v>
      </x:c>
      <x:c r="H58" s="23" t="n">
        <x:v>79457</x:v>
      </x:c>
      <x:c r="I58" s="24" t="n">
        <x:v>0.6378327792611</x:v>
      </x:c>
      <x:c r="J58" s="24" t="n">
        <x:v>0.10078696977106782</x:v>
      </x:c>
      <x:c r="K58" s="24" t="n">
        <x:v>0.36930987451608394</x:v>
      </x:c>
      <x:c r="L58" s="24" t="n">
        <x:v>0.21685181558132172</x:v>
      </x:c>
      <x:c r="M58" s="24" t="n">
        <x:v>0.6373888085015537</x:v>
      </x:c>
      <x:c r="N58" s="24" t="n">
        <x:v>0.1009607196425562</x:v>
      </x:c>
      <x:c r="O58" s="24" t="n">
        <x:v>0.3691747640720549</x:v>
      </x:c>
      <x:c r="P58" s="24"/>
      <x:c r="Q58" s="24"/>
      <x:c r="R58" s="24"/>
      <x:c r="S58" s="24"/>
      <x:c r="T58" s="24"/>
      <x:c r="U58" s="24"/>
      <x:c r="V58" s="24"/>
      <x:c r="W58" s="23" t="n">
        <x:v>6</x:v>
      </x:c>
      <x:c r="X58" s="23" t="n">
        <x:v>29</x:v>
      </x:c>
      <x:c r="Y58" s="25" t="n">
        <x:v>21.101725773633614</x:v>
      </x:c>
      <x:c r="Z58" s="23" t="str">
        <x:v>benchmark/preprocessing_training/dim_600/l2/msms_pos/seed_41/cnn/pos_msms/original/metrics.json</x:v>
      </x:c>
    </x:row>
    <x:row r="59">
      <x:c r="A59" s="23" t="str">
        <x:v>l2</x:v>
      </x:c>
      <x:c r="B59" s="23" t="str">
        <x:v>msms_pos</x:v>
      </x:c>
      <x:c r="C59" s="23" t="str">
        <x:v>mps</x:v>
      </x:c>
      <x:c r="D59" s="23" t="n">
        <x:v>41</x:v>
      </x:c>
      <x:c r="E59" s="23" t="n">
        <x:v>600</x:v>
      </x:c>
      <x:c r="F59" s="23"/>
      <x:c r="G59" s="23"/>
      <x:c r="H59" s="23"/>
      <x:c r="I59" s="24" t="n">
        <x:v>0.2966</x:v>
      </x:c>
      <x:c r="J59" s="24" t="n">
        <x:v>0.1763</x:v>
      </x:c>
      <x:c r="K59" s="24" t="n">
        <x:v>0.23645</x:v>
      </x:c>
      <x:c r="L59" s="24" t="n">
        <x:v>1.9282</x:v>
      </x:c>
      <x:c r="M59" s="24" t="n">
        <x:v>0.29595755791553735</x:v>
      </x:c>
      <x:c r="N59" s="24" t="n">
        <x:v>0.1762993716294246</x:v>
      </x:c>
      <x:c r="O59" s="24" t="n">
        <x:v>0.23612846477248098</x:v>
      </x:c>
      <x:c r="P59" s="24" t="n">
        <x:v>1.5853</x:v>
      </x:c>
      <x:c r="Q59" s="24" t="n">
        <x:v>0.0001</x:v>
      </x:c>
      <x:c r="R59" s="24" t="n">
        <x:v>0.5447</x:v>
      </x:c>
      <x:c r="S59" s="24" t="n">
        <x:v>0.1986</x:v>
      </x:c>
      <x:c r="T59" s="24" t="n">
        <x:v>0.1591</x:v>
      </x:c>
      <x:c r="U59" s="24" t="n">
        <x:v>0.5807</x:v>
      </x:c>
      <x:c r="V59" s="24" t="n">
        <x:v>0.548</x:v>
      </x:c>
      <x:c r="W59" s="23" t="n">
        <x:v>58</x:v>
      </x:c>
      <x:c r="X59" s="23" t="n">
        <x:v>78</x:v>
      </x:c>
      <x:c r="Y59" s="25" t="n">
        <x:v>53</x:v>
      </x:c>
      <x:c r="Z59" s="23" t="str">
        <x:v>benchmark/preprocessing_training/dim_600/l2/msms_pos/seed_41/mps/results/metrics.json</x:v>
      </x:c>
    </x:row>
    <x:row r="60">
      <x:c r="A60" s="23" t="str">
        <x:v>l2</x:v>
      </x:c>
      <x:c r="B60" s="23" t="str">
        <x:v>msms_pos</x:v>
      </x:c>
      <x:c r="C60" s="23" t="str">
        <x:v>ttn</x:v>
      </x:c>
      <x:c r="D60" s="23" t="n">
        <x:v>41</x:v>
      </x:c>
      <x:c r="E60" s="23" t="n">
        <x:v>600</x:v>
      </x:c>
      <x:c r="F60" s="23"/>
      <x:c r="G60" s="23"/>
      <x:c r="H60" s="23"/>
      <x:c r="I60" s="24" t="n">
        <x:v>0.6359535193528432</x:v>
      </x:c>
      <x:c r="J60" s="24" t="n">
        <x:v>0.1498127815309057</x:v>
      </x:c>
      <x:c r="K60" s="24" t="n">
        <x:v>0.39288315044187444</x:v>
      </x:c>
      <x:c r="L60" s="24" t="n">
        <x:v>0.401231</x:v>
      </x:c>
      <x:c r="M60" s="24" t="n">
        <x:v>0.6346440727277045</x:v>
      </x:c>
      <x:c r="N60" s="24" t="n">
        <x:v>0.14793912653248986</x:v>
      </x:c>
      <x:c r="O60" s="24" t="n">
        <x:v>0.3912915996300972</x:v>
      </x:c>
      <x:c r="P60" s="24" t="n">
        <x:v>0.401827</x:v>
      </x:c>
      <x:c r="Q60" s="24"/>
      <x:c r="R60" s="24"/>
      <x:c r="S60" s="24" t="n">
        <x:v>0.726999</x:v>
      </x:c>
      <x:c r="T60" s="24"/>
      <x:c r="U60" s="24" t="n">
        <x:v>0.563109</x:v>
      </x:c>
      <x:c r="V60" s="24"/>
      <x:c r="W60" s="23" t="n">
        <x:v>31</x:v>
      </x:c>
      <x:c r="X60" s="23" t="n">
        <x:v>51</x:v>
      </x:c>
      <x:c r="Y60" s="25" t="n">
        <x:v>14.478</x:v>
      </x:c>
      <x:c r="Z60" s="23" t="str">
        <x:v>benchmark/preprocessing_training/dim_600/l2/msms_pos/seed_41/ttn/metrics.json</x:v>
      </x:c>
    </x:row>
    <x:row r="61">
      <x:c r="A61" s="23" t="str">
        <x:v>l2</x:v>
      </x:c>
      <x:c r="B61" s="23" t="str">
        <x:v>msms_pos</x:v>
      </x:c>
      <x:c r="C61" s="23" t="str">
        <x:v>xgboost</x:v>
      </x:c>
      <x:c r="D61" s="23" t="n">
        <x:v>41</x:v>
      </x:c>
      <x:c r="E61" s="23" t="n">
        <x:v>600</x:v>
      </x:c>
      <x:c r="F61" s="23" t="n">
        <x:v>635496</x:v>
      </x:c>
      <x:c r="G61" s="23" t="n">
        <x:v>79450</x:v>
      </x:c>
      <x:c r="H61" s="23" t="n">
        <x:v>79457</x:v>
      </x:c>
      <x:c r="I61" s="24" t="n">
        <x:v>0.6313967988192865</x:v>
      </x:c>
      <x:c r="J61" s="24" t="n">
        <x:v>0.1012513103843852</x:v>
      </x:c>
      <x:c r="K61" s="24" t="n">
        <x:v>0.3663240546018358</x:v>
      </x:c>
      <x:c r="L61" s="24"/>
      <x:c r="M61" s="24" t="n">
        <x:v>0.6307227254950987</x:v>
      </x:c>
      <x:c r="N61" s="24" t="n">
        <x:v>0.10194406161421278</x:v>
      </x:c>
      <x:c r="O61" s="24" t="n">
        <x:v>0.3663333935546557</x:v>
      </x:c>
      <x:c r="P61" s="24"/>
      <x:c r="Q61" s="24"/>
      <x:c r="R61" s="24"/>
      <x:c r="S61" s="24"/>
      <x:c r="T61" s="24"/>
      <x:c r="U61" s="24"/>
      <x:c r="V61" s="24"/>
      <x:c r="W61" s="23"/>
      <x:c r="X61" s="23"/>
      <x:c r="Y61" s="25" t="n">
        <x:v>2.4845452354988082</x:v>
      </x:c>
      <x:c r="Z61" s="23" t="str">
        <x:v>benchmark/preprocessing_training/dim_600/l2/msms_pos/seed_41/xgboost/pos_msms/original/metrics.json</x:v>
      </x:c>
    </x:row>
    <x:row r="62">
      <x:c r="A62" s="23" t="str">
        <x:v>max</x:v>
      </x:c>
      <x:c r="B62" s="23" t="str">
        <x:v>cnmr</x:v>
      </x:c>
      <x:c r="C62" s="23" t="str">
        <x:v>cnn</x:v>
      </x:c>
      <x:c r="D62" s="23" t="n">
        <x:v>41</x:v>
      </x:c>
      <x:c r="E62" s="23" t="n">
        <x:v>600</x:v>
      </x:c>
      <x:c r="F62" s="23" t="n">
        <x:v>635496</x:v>
      </x:c>
      <x:c r="G62" s="23" t="n">
        <x:v>79450</x:v>
      </x:c>
      <x:c r="H62" s="23" t="n">
        <x:v>79457</x:v>
      </x:c>
      <x:c r="I62" s="24" t="n">
        <x:v>0.7047041060696673</x:v>
      </x:c>
      <x:c r="J62" s="24" t="n">
        <x:v>0.21152480416443967</x:v>
      </x:c>
      <x:c r="K62" s="24" t="n">
        <x:v>0.45811445511705345</x:v>
      </x:c>
      <x:c r="L62" s="24" t="n">
        <x:v>0.18287386000156403</x:v>
      </x:c>
      <x:c r="M62" s="24" t="n">
        <x:v>0.7043782602282327</x:v>
      </x:c>
      <x:c r="N62" s="24" t="n">
        <x:v>0.21251084930498254</x:v>
      </x:c>
      <x:c r="O62" s="24" t="n">
        <x:v>0.4584445547666076</x:v>
      </x:c>
      <x:c r="P62" s="24"/>
      <x:c r="Q62" s="24"/>
      <x:c r="R62" s="24"/>
      <x:c r="S62" s="24"/>
      <x:c r="T62" s="24"/>
      <x:c r="U62" s="24"/>
      <x:c r="V62" s="24"/>
      <x:c r="W62" s="23" t="n">
        <x:v>22</x:v>
      </x:c>
      <x:c r="X62" s="23" t="n">
        <x:v>42</x:v>
      </x:c>
      <x:c r="Y62" s="25" t="n">
        <x:v>28.960479862516515</x:v>
      </x:c>
      <x:c r="Z62" s="23" t="str">
        <x:v>benchmark/preprocessing_training/dim_600/max/cnmr/seed_41/cnn/cnmr/original/metrics.json</x:v>
      </x:c>
    </x:row>
    <x:row r="63">
      <x:c r="A63" s="23" t="str">
        <x:v>max</x:v>
      </x:c>
      <x:c r="B63" s="23" t="str">
        <x:v>cnmr</x:v>
      </x:c>
      <x:c r="C63" s="23" t="str">
        <x:v>mps</x:v>
      </x:c>
      <x:c r="D63" s="23" t="n">
        <x:v>41</x:v>
      </x:c>
      <x:c r="E63" s="23" t="n">
        <x:v>600</x:v>
      </x:c>
      <x:c r="F63" s="23"/>
      <x:c r="G63" s="23"/>
      <x:c r="H63" s="23"/>
      <x:c r="I63" s="24" t="n">
        <x:v>0.6679</x:v>
      </x:c>
      <x:c r="J63" s="24" t="n">
        <x:v>0.3497</x:v>
      </x:c>
      <x:c r="K63" s="24" t="n">
        <x:v>0.5088</x:v>
      </x:c>
      <x:c r="L63" s="24" t="n">
        <x:v>11.3008</x:v>
      </x:c>
      <x:c r="M63" s="24" t="n">
        <x:v>0.6681722181846561</x:v>
      </x:c>
      <x:c r="N63" s="24" t="n">
        <x:v>0.349938024159798</x:v>
      </x:c>
      <x:c r="O63" s="24" t="n">
        <x:v>0.5090551211722271</x:v>
      </x:c>
      <x:c r="P63" s="24" t="n">
        <x:v>11.081</x:v>
      </x:c>
      <x:c r="Q63" s="24" t="n">
        <x:v>0.0421</x:v>
      </x:c>
      <x:c r="R63" s="24" t="n">
        <x:v>0.695</x:v>
      </x:c>
      <x:c r="S63" s="24" t="n">
        <x:v>0.6221</x:v>
      </x:c>
      <x:c r="T63" s="24" t="n">
        <x:v>0.3342</x:v>
      </x:c>
      <x:c r="U63" s="24" t="n">
        <x:v>0.7217</x:v>
      </x:c>
      <x:c r="V63" s="24" t="n">
        <x:v>0.3828</x:v>
      </x:c>
      <x:c r="W63" s="23" t="n">
        <x:v>175</x:v>
      </x:c>
      <x:c r="X63" s="23" t="n">
        <x:v>184</x:v>
      </x:c>
      <x:c r="Y63" s="25" t="n">
        <x:v>259.2</x:v>
      </x:c>
      <x:c r="Z63" s="23" t="str">
        <x:v>benchmark/preprocessing_training/dim_600/max/cnmr/seed_41/mps/results/metrics.json</x:v>
      </x:c>
    </x:row>
    <x:row r="64">
      <x:c r="A64" s="23" t="str">
        <x:v>max</x:v>
      </x:c>
      <x:c r="B64" s="23" t="str">
        <x:v>cnmr</x:v>
      </x:c>
      <x:c r="C64" s="23" t="str">
        <x:v>ttn</x:v>
      </x:c>
      <x:c r="D64" s="23" t="n">
        <x:v>41</x:v>
      </x:c>
      <x:c r="E64" s="23" t="n">
        <x:v>600</x:v>
      </x:c>
      <x:c r="F64" s="23"/>
      <x:c r="G64" s="23"/>
      <x:c r="H64" s="23"/>
      <x:c r="I64" s="24" t="n">
        <x:v>0.7154535188471415</x:v>
      </x:c>
      <x:c r="J64" s="24" t="n">
        <x:v>0.33234122042942527</x:v>
      </x:c>
      <x:c r="K64" s="24" t="n">
        <x:v>0.5238973696382834</x:v>
      </x:c>
      <x:c r="L64" s="24" t="n">
        <x:v>0.320743</x:v>
      </x:c>
      <x:c r="M64" s="24" t="n">
        <x:v>0.7159323431906985</x:v>
      </x:c>
      <x:c r="N64" s="24" t="n">
        <x:v>0.3291361533197521</x:v>
      </x:c>
      <x:c r="O64" s="24" t="n">
        <x:v>0.5225342482552253</x:v>
      </x:c>
      <x:c r="P64" s="24" t="n">
        <x:v>0.320399</x:v>
      </x:c>
      <x:c r="Q64" s="24"/>
      <x:c r="R64" s="24"/>
      <x:c r="S64" s="24" t="n">
        <x:v>0.718544</x:v>
      </x:c>
      <x:c r="T64" s="24"/>
      <x:c r="U64" s="24" t="n">
        <x:v>0.713339</x:v>
      </x:c>
      <x:c r="V64" s="24"/>
      <x:c r="W64" s="23" t="n">
        <x:v>25</x:v>
      </x:c>
      <x:c r="X64" s="23" t="n">
        <x:v>53</x:v>
      </x:c>
      <x:c r="Y64" s="25" t="n">
        <x:v>16.070666666666668</x:v>
      </x:c>
      <x:c r="Z64" s="23" t="str">
        <x:v>benchmark/preprocessing_training/dim_600/max/cnmr/seed_41/ttn/metrics.json</x:v>
      </x:c>
    </x:row>
    <x:row r="65">
      <x:c r="A65" s="23" t="str">
        <x:v>max</x:v>
      </x:c>
      <x:c r="B65" s="23" t="str">
        <x:v>cnmr</x:v>
      </x:c>
      <x:c r="C65" s="23" t="str">
        <x:v>xgboost</x:v>
      </x:c>
      <x:c r="D65" s="23" t="n">
        <x:v>41</x:v>
      </x:c>
      <x:c r="E65" s="23" t="n">
        <x:v>600</x:v>
      </x:c>
      <x:c r="F65" s="23" t="n">
        <x:v>635496</x:v>
      </x:c>
      <x:c r="G65" s="23" t="n">
        <x:v>79450</x:v>
      </x:c>
      <x:c r="H65" s="23" t="n">
        <x:v>79457</x:v>
      </x:c>
      <x:c r="I65" s="24" t="n">
        <x:v>0.7732990698518436</x:v>
      </x:c>
      <x:c r="J65" s="24" t="n">
        <x:v>0.35886844521723776</x:v>
      </x:c>
      <x:c r="K65" s="24" t="n">
        <x:v>0.5660837575345407</x:v>
      </x:c>
      <x:c r="L65" s="24"/>
      <x:c r="M65" s="24" t="n">
        <x:v>0.7733421525529884</x:v>
      </x:c>
      <x:c r="N65" s="24" t="n">
        <x:v>0.34920774669822974</x:v>
      </x:c>
      <x:c r="O65" s="24" t="n">
        <x:v>0.5612749496256091</x:v>
      </x:c>
      <x:c r="P65" s="24"/>
      <x:c r="Q65" s="24"/>
      <x:c r="R65" s="24"/>
      <x:c r="S65" s="24"/>
      <x:c r="T65" s="24"/>
      <x:c r="U65" s="24"/>
      <x:c r="V65" s="24"/>
      <x:c r="W65" s="23"/>
      <x:c r="X65" s="23"/>
      <x:c r="Y65" s="25" t="n">
        <x:v>5.1715365571338525</x:v>
      </x:c>
      <x:c r="Z65" s="23" t="str">
        <x:v>benchmark/preprocessing_training/dim_600/max/cnmr/seed_41/xgboost/cnmr/original/metrics.json</x:v>
      </x:c>
    </x:row>
    <x:row r="66">
      <x:c r="A66" s="23" t="str">
        <x:v>max</x:v>
      </x:c>
      <x:c r="B66" s="23" t="str">
        <x:v>hnmr</x:v>
      </x:c>
      <x:c r="C66" s="23" t="str">
        <x:v>cnn</x:v>
      </x:c>
      <x:c r="D66" s="23" t="n">
        <x:v>41</x:v>
      </x:c>
      <x:c r="E66" s="23" t="n">
        <x:v>600</x:v>
      </x:c>
      <x:c r="F66" s="23" t="n">
        <x:v>635496</x:v>
      </x:c>
      <x:c r="G66" s="23" t="n">
        <x:v>79450</x:v>
      </x:c>
      <x:c r="H66" s="23" t="n">
        <x:v>79457</x:v>
      </x:c>
      <x:c r="I66" s="24" t="n">
        <x:v>0.7512421647238214</x:v>
      </x:c>
      <x:c r="J66" s="24" t="n">
        <x:v>0.31612441681914205</x:v>
      </x:c>
      <x:c r="K66" s="24" t="n">
        <x:v>0.5336832907714817</x:v>
      </x:c>
      <x:c r="L66" s="24" t="n">
        <x:v>0.15814432501792908</x:v>
      </x:c>
      <x:c r="M66" s="24" t="n">
        <x:v>0.7511844408558856</x:v>
      </x:c>
      <x:c r="N66" s="24" t="n">
        <x:v>0.3141811385380825</x:v>
      </x:c>
      <x:c r="O66" s="24" t="n">
        <x:v>0.5326827896969841</x:v>
      </x:c>
      <x:c r="P66" s="24"/>
      <x:c r="Q66" s="24"/>
      <x:c r="R66" s="24"/>
      <x:c r="S66" s="24"/>
      <x:c r="T66" s="24"/>
      <x:c r="U66" s="24"/>
      <x:c r="V66" s="24"/>
      <x:c r="W66" s="23" t="n">
        <x:v>25</x:v>
      </x:c>
      <x:c r="X66" s="23" t="n">
        <x:v>45</x:v>
      </x:c>
      <x:c r="Y66" s="25" t="n">
        <x:v>37.30130261989931</x:v>
      </x:c>
      <x:c r="Z66" s="23" t="str">
        <x:v>benchmark/preprocessing_training/dim_600/max/hnmr/seed_41/cnn/hnmr/original/metrics.json</x:v>
      </x:c>
    </x:row>
    <x:row r="67">
      <x:c r="A67" s="23" t="str">
        <x:v>max</x:v>
      </x:c>
      <x:c r="B67" s="23" t="str">
        <x:v>hnmr</x:v>
      </x:c>
      <x:c r="C67" s="23" t="str">
        <x:v>mps</x:v>
      </x:c>
      <x:c r="D67" s="23" t="n">
        <x:v>41</x:v>
      </x:c>
      <x:c r="E67" s="23" t="n">
        <x:v>600</x:v>
      </x:c>
      <x:c r="F67" s="23"/>
      <x:c r="G67" s="23"/>
      <x:c r="H67" s="23"/>
      <x:c r="I67" s="24" t="n">
        <x:v>0.7012</x:v>
      </x:c>
      <x:c r="J67" s="24" t="n">
        <x:v>0.3719</x:v>
      </x:c>
      <x:c r="K67" s="24" t="n">
        <x:v>0.5365500000000001</x:v>
      </x:c>
      <x:c r="L67" s="24" t="n">
        <x:v>10.6713</x:v>
      </x:c>
      <x:c r="M67" s="24" t="n">
        <x:v>0.7011714267832182</x:v>
      </x:c>
      <x:c r="N67" s="24" t="n">
        <x:v>0.3650554921691385</x:v>
      </x:c>
      <x:c r="O67" s="24" t="n">
        <x:v>0.5331134594761784</x:v>
      </x:c>
      <x:c r="P67" s="24" t="n">
        <x:v>10.4498</x:v>
      </x:c>
      <x:c r="Q67" s="24" t="n">
        <x:v>0.0794</x:v>
      </x:c>
      <x:c r="R67" s="24" t="n">
        <x:v>0.7069</x:v>
      </x:c>
      <x:c r="S67" s="24" t="n">
        <x:v>0.6942</x:v>
      </x:c>
      <x:c r="T67" s="24" t="n">
        <x:v>0.3907</x:v>
      </x:c>
      <x:c r="U67" s="24" t="n">
        <x:v>0.7082</x:v>
      </x:c>
      <x:c r="V67" s="24" t="n">
        <x:v>0.3523</x:v>
      </x:c>
      <x:c r="W67" s="23" t="n">
        <x:v>158</x:v>
      </x:c>
      <x:c r="X67" s="23" t="n">
        <x:v>167</x:v>
      </x:c>
      <x:c r="Y67" s="25" t="n">
        <x:v>112.7</x:v>
      </x:c>
      <x:c r="Z67" s="23" t="str">
        <x:v>benchmark/preprocessing_training/dim_600/max/hnmr/seed_41/mps/results/metrics.json</x:v>
      </x:c>
    </x:row>
    <x:row r="68">
      <x:c r="A68" s="23" t="str">
        <x:v>max</x:v>
      </x:c>
      <x:c r="B68" s="23" t="str">
        <x:v>hnmr</x:v>
      </x:c>
      <x:c r="C68" s="23" t="str">
        <x:v>ttn</x:v>
      </x:c>
      <x:c r="D68" s="23" t="n">
        <x:v>41</x:v>
      </x:c>
      <x:c r="E68" s="23" t="n">
        <x:v>600</x:v>
      </x:c>
      <x:c r="F68" s="23"/>
      <x:c r="G68" s="23"/>
      <x:c r="H68" s="23"/>
      <x:c r="I68" s="24" t="n">
        <x:v>0.6903627741395572</x:v>
      </x:c>
      <x:c r="J68" s="24" t="n">
        <x:v>0.3082411398718396</x:v>
      </x:c>
      <x:c r="K68" s="24" t="n">
        <x:v>0.49930195700569835</x:v>
      </x:c>
      <x:c r="L68" s="24" t="n">
        <x:v>0.37353</x:v>
      </x:c>
      <x:c r="M68" s="24" t="n">
        <x:v>0.6899887451283149</x:v>
      </x:c>
      <x:c r="N68" s="24" t="n">
        <x:v>0.30279515576926447</x:v>
      </x:c>
      <x:c r="O68" s="24" t="n">
        <x:v>0.4963919504487897</x:v>
      </x:c>
      <x:c r="P68" s="24" t="n">
        <x:v>0.372618</x:v>
      </x:c>
      <x:c r="Q68" s="24"/>
      <x:c r="R68" s="24"/>
      <x:c r="S68" s="24" t="n">
        <x:v>0.696197</x:v>
      </x:c>
      <x:c r="T68" s="24"/>
      <x:c r="U68" s="24" t="n">
        <x:v>0.68389</x:v>
      </x:c>
      <x:c r="V68" s="24"/>
      <x:c r="W68" s="23" t="n">
        <x:v>46</x:v>
      </x:c>
      <x:c r="X68" s="23" t="n">
        <x:v>66</x:v>
      </x:c>
      <x:c r="Y68" s="25" t="n">
        <x:v>20.919666666666668</x:v>
      </x:c>
      <x:c r="Z68" s="23" t="str">
        <x:v>benchmark/preprocessing_training/dim_600/max/hnmr/seed_41/ttn/metrics.json</x:v>
      </x:c>
    </x:row>
    <x:row r="69">
      <x:c r="A69" s="23" t="str">
        <x:v>max</x:v>
      </x:c>
      <x:c r="B69" s="23" t="str">
        <x:v>hnmr</x:v>
      </x:c>
      <x:c r="C69" s="23" t="str">
        <x:v>xgboost</x:v>
      </x:c>
      <x:c r="D69" s="23" t="n">
        <x:v>41</x:v>
      </x:c>
      <x:c r="E69" s="23" t="n">
        <x:v>600</x:v>
      </x:c>
      <x:c r="F69" s="23" t="n">
        <x:v>635496</x:v>
      </x:c>
      <x:c r="G69" s="23" t="n">
        <x:v>79450</x:v>
      </x:c>
      <x:c r="H69" s="23" t="n">
        <x:v>79457</x:v>
      </x:c>
      <x:c r="I69" s="24" t="n">
        <x:v>0.74681195788966</x:v>
      </x:c>
      <x:c r="J69" s="24" t="n">
        <x:v>0.3192173249026401</x:v>
      </x:c>
      <x:c r="K69" s="24" t="n">
        <x:v>0.5330146413961501</x:v>
      </x:c>
      <x:c r="L69" s="24"/>
      <x:c r="M69" s="24" t="n">
        <x:v>0.7474279199254391</x:v>
      </x:c>
      <x:c r="N69" s="24" t="n">
        <x:v>0.30660818335897455</x:v>
      </x:c>
      <x:c r="O69" s="24" t="n">
        <x:v>0.5270180516422068</x:v>
      </x:c>
      <x:c r="P69" s="24"/>
      <x:c r="Q69" s="24"/>
      <x:c r="R69" s="24"/>
      <x:c r="S69" s="24"/>
      <x:c r="T69" s="24"/>
      <x:c r="U69" s="24"/>
      <x:c r="V69" s="24"/>
      <x:c r="W69" s="23"/>
      <x:c r="X69" s="23"/>
      <x:c r="Y69" s="25" t="n">
        <x:v>11.863474239816423</x:v>
      </x:c>
      <x:c r="Z69" s="23" t="str">
        <x:v>benchmark/preprocessing_training/dim_600/max/hnmr/seed_41/xgboost/hnmr/original/metrics.json</x:v>
      </x:c>
    </x:row>
    <x:row r="70">
      <x:c r="A70" s="23" t="str">
        <x:v>max</x:v>
      </x:c>
      <x:c r="B70" s="23" t="str">
        <x:v>ir</x:v>
      </x:c>
      <x:c r="C70" s="23" t="str">
        <x:v>cnn</x:v>
      </x:c>
      <x:c r="D70" s="23" t="n">
        <x:v>41</x:v>
      </x:c>
      <x:c r="E70" s="23" t="n">
        <x:v>600</x:v>
      </x:c>
      <x:c r="F70" s="23" t="n">
        <x:v>635496</x:v>
      </x:c>
      <x:c r="G70" s="23" t="n">
        <x:v>79450</x:v>
      </x:c>
      <x:c r="H70" s="23" t="n">
        <x:v>79457</x:v>
      </x:c>
      <x:c r="I70" s="24" t="n">
        <x:v>0.8896021639537874</x:v>
      </x:c>
      <x:c r="J70" s="24" t="n">
        <x:v>0.6585360265247442</x:v>
      </x:c>
      <x:c r="K70" s="24" t="n">
        <x:v>0.7740690952392658</x:v>
      </x:c>
      <x:c r="L70" s="24" t="n">
        <x:v>0.07272174209356308</x:v>
      </x:c>
      <x:c r="M70" s="24" t="n">
        <x:v>0.8899877836758348</x:v>
      </x:c>
      <x:c r="N70" s="24" t="n">
        <x:v>0.665519151324364</x:v>
      </x:c>
      <x:c r="O70" s="24" t="n">
        <x:v>0.7777534675000994</x:v>
      </x:c>
      <x:c r="P70" s="24"/>
      <x:c r="Q70" s="24"/>
      <x:c r="R70" s="24"/>
      <x:c r="S70" s="24"/>
      <x:c r="T70" s="24"/>
      <x:c r="U70" s="24"/>
      <x:c r="V70" s="24"/>
      <x:c r="W70" s="23" t="n">
        <x:v>38</x:v>
      </x:c>
      <x:c r="X70" s="23" t="n">
        <x:v>41</x:v>
      </x:c>
      <x:c r="Y70" s="25" t="n">
        <x:v>35.04642253704951</x:v>
      </x:c>
      <x:c r="Z70" s="23" t="str">
        <x:v>benchmark/preprocessing_training/dim_600/max/ir/seed_41/cnn/ir/original/metrics.json</x:v>
      </x:c>
    </x:row>
    <x:row r="71">
      <x:c r="A71" s="23" t="str">
        <x:v>max</x:v>
      </x:c>
      <x:c r="B71" s="23" t="str">
        <x:v>ir</x:v>
      </x:c>
      <x:c r="C71" s="23" t="str">
        <x:v>mps</x:v>
      </x:c>
      <x:c r="D71" s="23" t="n">
        <x:v>41</x:v>
      </x:c>
      <x:c r="E71" s="23" t="n">
        <x:v>600</x:v>
      </x:c>
      <x:c r="F71" s="23"/>
      <x:c r="G71" s="23"/>
      <x:c r="H71" s="23"/>
      <x:c r="I71" s="24" t="n">
        <x:v>0.8416</x:v>
      </x:c>
      <x:c r="J71" s="24" t="n">
        <x:v>0.6757</x:v>
      </x:c>
      <x:c r="K71" s="24" t="n">
        <x:v>0.75865</x:v>
      </x:c>
      <x:c r="L71" s="24" t="n">
        <x:v>4.0177</x:v>
      </x:c>
      <x:c r="M71" s="24" t="n">
        <x:v>0.8420232237320907</x:v>
      </x:c>
      <x:c r="N71" s="24" t="n">
        <x:v>0.6768764698250904</x:v>
      </x:c>
      <x:c r="O71" s="24" t="n">
        <x:v>0.7594498467785906</x:v>
      </x:c>
      <x:c r="P71" s="24" t="n">
        <x:v>3.8171</x:v>
      </x:c>
      <x:c r="Q71" s="24" t="n">
        <x:v>0.2562</x:v>
      </x:c>
      <x:c r="R71" s="24" t="n">
        <x:v>0.8409</x:v>
      </x:c>
      <x:c r="S71" s="24" t="n">
        <x:v>0.8689</x:v>
      </x:c>
      <x:c r="T71" s="24" t="n">
        <x:v>0.743</x:v>
      </x:c>
      <x:c r="U71" s="24" t="n">
        <x:v>0.8168</x:v>
      </x:c>
      <x:c r="V71" s="24" t="n">
        <x:v>0.6426</x:v>
      </x:c>
      <x:c r="W71" s="23" t="n">
        <x:v>105</x:v>
      </x:c>
      <x:c r="X71" s="23" t="n">
        <x:v>107</x:v>
      </x:c>
      <x:c r="Y71" s="25" t="n">
        <x:v>71.9</x:v>
      </x:c>
      <x:c r="Z71" s="23" t="str">
        <x:v>benchmark/preprocessing_training/dim_600/max/ir/seed_41/mps/results/metrics.json</x:v>
      </x:c>
    </x:row>
    <x:row r="72">
      <x:c r="A72" s="23" t="str">
        <x:v>max</x:v>
      </x:c>
      <x:c r="B72" s="23" t="str">
        <x:v>ir</x:v>
      </x:c>
      <x:c r="C72" s="23" t="str">
        <x:v>ttn</x:v>
      </x:c>
      <x:c r="D72" s="23" t="n">
        <x:v>41</x:v>
      </x:c>
      <x:c r="E72" s="23" t="n">
        <x:v>600</x:v>
      </x:c>
      <x:c r="F72" s="23"/>
      <x:c r="G72" s="23"/>
      <x:c r="H72" s="23"/>
      <x:c r="I72" s="24" t="n">
        <x:v>0.8330538553616741</x:v>
      </x:c>
      <x:c r="J72" s="24" t="n">
        <x:v>0.6012170270595785</x:v>
      </x:c>
      <x:c r="K72" s="24" t="n">
        <x:v>0.7171354412106263</x:v>
      </x:c>
      <x:c r="L72" s="24" t="n">
        <x:v>0.216438</x:v>
      </x:c>
      <x:c r="M72" s="24" t="n">
        <x:v>0.8333294224697364</x:v>
      </x:c>
      <x:c r="N72" s="24" t="n">
        <x:v>0.5940636823733325</x:v>
      </x:c>
      <x:c r="O72" s="24" t="n">
        <x:v>0.7136965524215344</x:v>
      </x:c>
      <x:c r="P72" s="24" t="n">
        <x:v>0.216626</x:v>
      </x:c>
      <x:c r="Q72" s="24"/>
      <x:c r="R72" s="24"/>
      <x:c r="S72" s="24" t="n">
        <x:v>0.82492</x:v>
      </x:c>
      <x:c r="T72" s="24"/>
      <x:c r="U72" s="24" t="n">
        <x:v>0.841912</x:v>
      </x:c>
      <x:c r="V72" s="24"/>
      <x:c r="W72" s="23" t="n">
        <x:v>69</x:v>
      </x:c>
      <x:c r="X72" s="23" t="n">
        <x:v>89</x:v>
      </x:c>
      <x:c r="Y72" s="25" t="n">
        <x:v>25.565833333333334</x:v>
      </x:c>
      <x:c r="Z72" s="23" t="str">
        <x:v>benchmark/preprocessing_training/dim_600/max/ir/seed_41/ttn/metrics.json</x:v>
      </x:c>
    </x:row>
    <x:row r="73">
      <x:c r="A73" s="23" t="str">
        <x:v>max</x:v>
      </x:c>
      <x:c r="B73" s="23" t="str">
        <x:v>ir</x:v>
      </x:c>
      <x:c r="C73" s="23" t="str">
        <x:v>xgboost</x:v>
      </x:c>
      <x:c r="D73" s="23" t="n">
        <x:v>41</x:v>
      </x:c>
      <x:c r="E73" s="23" t="n">
        <x:v>600</x:v>
      </x:c>
      <x:c r="F73" s="23" t="n">
        <x:v>635496</x:v>
      </x:c>
      <x:c r="G73" s="23" t="n">
        <x:v>79450</x:v>
      </x:c>
      <x:c r="H73" s="23" t="n">
        <x:v>79457</x:v>
      </x:c>
      <x:c r="I73" s="24" t="n">
        <x:v>0.8347293110499807</x:v>
      </x:c>
      <x:c r="J73" s="24" t="n">
        <x:v>0.5439890866946716</x:v>
      </x:c>
      <x:c r="K73" s="24" t="n">
        <x:v>0.6893591988723262</x:v>
      </x:c>
      <x:c r="L73" s="24"/>
      <x:c r="M73" s="24" t="n">
        <x:v>0.835285762511959</x:v>
      </x:c>
      <x:c r="N73" s="24" t="n">
        <x:v>0.5386188663129623</x:v>
      </x:c>
      <x:c r="O73" s="24" t="n">
        <x:v>0.6869523144124606</x:v>
      </x:c>
      <x:c r="P73" s="24"/>
      <x:c r="Q73" s="24"/>
      <x:c r="R73" s="24"/>
      <x:c r="S73" s="24"/>
      <x:c r="T73" s="24"/>
      <x:c r="U73" s="24"/>
      <x:c r="V73" s="24"/>
      <x:c r="W73" s="23"/>
      <x:c r="X73" s="23"/>
      <x:c r="Y73" s="25" t="n">
        <x:v>27.27287195044919</x:v>
      </x:c>
      <x:c r="Z73" s="23" t="str">
        <x:v>benchmark/preprocessing_training/dim_600/max/ir/seed_41/xgboost/ir/original/metrics.json</x:v>
      </x:c>
    </x:row>
    <x:row r="74">
      <x:c r="A74" s="23" t="str">
        <x:v>max</x:v>
      </x:c>
      <x:c r="B74" s="23" t="str">
        <x:v>msms_neg</x:v>
      </x:c>
      <x:c r="C74" s="23" t="str">
        <x:v>cnn</x:v>
      </x:c>
      <x:c r="D74" s="23" t="n">
        <x:v>41</x:v>
      </x:c>
      <x:c r="E74" s="23" t="n">
        <x:v>600</x:v>
      </x:c>
      <x:c r="F74" s="23" t="n">
        <x:v>635496</x:v>
      </x:c>
      <x:c r="G74" s="23" t="n">
        <x:v>79450</x:v>
      </x:c>
      <x:c r="H74" s="23" t="n">
        <x:v>79457</x:v>
      </x:c>
      <x:c r="I74" s="24" t="n">
        <x:v>0.6253774591059198</x:v>
      </x:c>
      <x:c r="J74" s="24" t="n">
        <x:v>0.10844150552113624</x:v>
      </x:c>
      <x:c r="K74" s="24" t="n">
        <x:v>0.36690948231352805</x:v>
      </x:c>
      <x:c r="L74" s="24" t="n">
        <x:v>0.21598784625530243</x:v>
      </x:c>
      <x:c r="M74" s="24" t="n">
        <x:v>0.6255627355777419</x:v>
      </x:c>
      <x:c r="N74" s="24" t="n">
        <x:v>0.10867745642437475</x:v>
      </x:c>
      <x:c r="O74" s="24" t="n">
        <x:v>0.3671200960010583</x:v>
      </x:c>
      <x:c r="P74" s="24"/>
      <x:c r="Q74" s="24"/>
      <x:c r="R74" s="24"/>
      <x:c r="S74" s="24"/>
      <x:c r="T74" s="24"/>
      <x:c r="U74" s="24"/>
      <x:c r="V74" s="24"/>
      <x:c r="W74" s="23" t="n">
        <x:v>12</x:v>
      </x:c>
      <x:c r="X74" s="23" t="n">
        <x:v>29</x:v>
      </x:c>
      <x:c r="Y74" s="25" t="n">
        <x:v>24.05369251850061</x:v>
      </x:c>
      <x:c r="Z74" s="23" t="str">
        <x:v>benchmark/preprocessing_training/dim_600/max/msms_neg/seed_41/cnn/neg_msms/original/metrics.json</x:v>
      </x:c>
    </x:row>
    <x:row r="75">
      <x:c r="A75" s="23" t="str">
        <x:v>max</x:v>
      </x:c>
      <x:c r="B75" s="23" t="str">
        <x:v>msms_neg</x:v>
      </x:c>
      <x:c r="C75" s="23" t="str">
        <x:v>mps</x:v>
      </x:c>
      <x:c r="D75" s="23" t="n">
        <x:v>41</x:v>
      </x:c>
      <x:c r="E75" s="23" t="n">
        <x:v>600</x:v>
      </x:c>
      <x:c r="F75" s="23"/>
      <x:c r="G75" s="23"/>
      <x:c r="H75" s="23"/>
      <x:c r="I75" s="24" t="n">
        <x:v>0.2929</x:v>
      </x:c>
      <x:c r="J75" s="24" t="n">
        <x:v>0.1726</x:v>
      </x:c>
      <x:c r="K75" s="24" t="n">
        <x:v>0.23275</x:v>
      </x:c>
      <x:c r="L75" s="24" t="n">
        <x:v>1.1921</x:v>
      </x:c>
      <x:c r="M75" s="24" t="n">
        <x:v>0.29241255206578265</x:v>
      </x:c>
      <x:c r="N75" s="24" t="n">
        <x:v>0.1728106693367127</x:v>
      </x:c>
      <x:c r="O75" s="24" t="n">
        <x:v>0.2326116107012477</x:v>
      </x:c>
      <x:c r="P75" s="24" t="n">
        <x:v>1.2082</x:v>
      </x:c>
      <x:c r="Q75" s="24" t="n">
        <x:v>0</x:v>
      </x:c>
      <x:c r="R75" s="24" t="n">
        <x:v>0.5666</x:v>
      </x:c>
      <x:c r="S75" s="24" t="n">
        <x:v>0.1874</x:v>
      </x:c>
      <x:c r="T75" s="24" t="n">
        <x:v>0.1485</x:v>
      </x:c>
      <x:c r="U75" s="24" t="n">
        <x:v>0.6652</x:v>
      </x:c>
      <x:c r="V75" s="24" t="n">
        <x:v>0.5902</x:v>
      </x:c>
      <x:c r="W75" s="23" t="n">
        <x:v>1</x:v>
      </x:c>
      <x:c r="X75" s="23" t="n">
        <x:v>21</x:v>
      </x:c>
      <x:c r="Y75" s="25" t="n">
        <x:v>14.6</x:v>
      </x:c>
      <x:c r="Z75" s="23" t="str">
        <x:v>benchmark/preprocessing_training/dim_600/max/msms_neg/seed_41/mps/results/metrics.json</x:v>
      </x:c>
    </x:row>
    <x:row r="76">
      <x:c r="A76" s="23" t="str">
        <x:v>max</x:v>
      </x:c>
      <x:c r="B76" s="23" t="str">
        <x:v>msms_neg</x:v>
      </x:c>
      <x:c r="C76" s="23" t="str">
        <x:v>ttn</x:v>
      </x:c>
      <x:c r="D76" s="23" t="n">
        <x:v>41</x:v>
      </x:c>
      <x:c r="E76" s="23" t="n">
        <x:v>600</x:v>
      </x:c>
      <x:c r="F76" s="23"/>
      <x:c r="G76" s="23"/>
      <x:c r="H76" s="23"/>
      <x:c r="I76" s="24" t="n">
        <x:v>0.6420120132367811</x:v>
      </x:c>
      <x:c r="J76" s="24" t="n">
        <x:v>0.15085182343650444</x:v>
      </x:c>
      <x:c r="K76" s="24" t="n">
        <x:v>0.3964319183366428</x:v>
      </x:c>
      <x:c r="L76" s="24" t="n">
        <x:v>0.406811</x:v>
      </x:c>
      <x:c r="M76" s="24" t="n">
        <x:v>0.6417935630826338</x:v>
      </x:c>
      <x:c r="N76" s="24" t="n">
        <x:v>0.14929081382358664</x:v>
      </x:c>
      <x:c r="O76" s="24" t="n">
        <x:v>0.39554218845311023</x:v>
      </x:c>
      <x:c r="P76" s="24" t="n">
        <x:v>0.407359</x:v>
      </x:c>
      <x:c r="Q76" s="24"/>
      <x:c r="R76" s="24"/>
      <x:c r="S76" s="24" t="n">
        <x:v>0.68831</x:v>
      </x:c>
      <x:c r="T76" s="24"/>
      <x:c r="U76" s="24" t="n">
        <x:v>0.601166</x:v>
      </x:c>
      <x:c r="V76" s="24"/>
      <x:c r="W76" s="23" t="n">
        <x:v>19</x:v>
      </x:c>
      <x:c r="X76" s="23" t="n">
        <x:v>87</x:v>
      </x:c>
      <x:c r="Y76" s="25" t="n">
        <x:v>25.510166666666667</x:v>
      </x:c>
      <x:c r="Z76" s="23" t="str">
        <x:v>benchmark/preprocessing_training/dim_600/max/msms_neg/seed_41/ttn/metrics.json</x:v>
      </x:c>
    </x:row>
    <x:row r="77">
      <x:c r="A77" s="23" t="str">
        <x:v>max</x:v>
      </x:c>
      <x:c r="B77" s="23" t="str">
        <x:v>msms_neg</x:v>
      </x:c>
      <x:c r="C77" s="23" t="str">
        <x:v>xgboost</x:v>
      </x:c>
      <x:c r="D77" s="23" t="n">
        <x:v>41</x:v>
      </x:c>
      <x:c r="E77" s="23" t="n">
        <x:v>600</x:v>
      </x:c>
      <x:c r="F77" s="23" t="n">
        <x:v>635496</x:v>
      </x:c>
      <x:c r="G77" s="23" t="n">
        <x:v>79450</x:v>
      </x:c>
      <x:c r="H77" s="23" t="n">
        <x:v>79457</x:v>
      </x:c>
      <x:c r="I77" s="24" t="n">
        <x:v>0.6224925109876468</x:v>
      </x:c>
      <x:c r="J77" s="24" t="n">
        <x:v>0.10788544788722251</x:v>
      </x:c>
      <x:c r="K77" s="24" t="n">
        <x:v>0.36518897943743467</x:v>
      </x:c>
      <x:c r="L77" s="24"/>
      <x:c r="M77" s="24" t="n">
        <x:v>0.6224836951349154</x:v>
      </x:c>
      <x:c r="N77" s="24" t="n">
        <x:v>0.10806084982397728</x:v>
      </x:c>
      <x:c r="O77" s="24" t="n">
        <x:v>0.3652722724794463</x:v>
      </x:c>
      <x:c r="P77" s="24"/>
      <x:c r="Q77" s="24"/>
      <x:c r="R77" s="24"/>
      <x:c r="S77" s="24"/>
      <x:c r="T77" s="24"/>
      <x:c r="U77" s="24"/>
      <x:c r="V77" s="24"/>
      <x:c r="W77" s="23"/>
      <x:c r="X77" s="23"/>
      <x:c r="Y77" s="25" t="n">
        <x:v>2.6227213674845795</x:v>
      </x:c>
      <x:c r="Z77" s="23" t="str">
        <x:v>benchmark/preprocessing_training/dim_600/max/msms_neg/seed_41/xgboost/neg_msms/original/metrics.json</x:v>
      </x:c>
    </x:row>
    <x:row r="78">
      <x:c r="A78" s="23" t="str">
        <x:v>max</x:v>
      </x:c>
      <x:c r="B78" s="23" t="str">
        <x:v>msms_pos</x:v>
      </x:c>
      <x:c r="C78" s="23" t="str">
        <x:v>cnn</x:v>
      </x:c>
      <x:c r="D78" s="23" t="n">
        <x:v>41</x:v>
      </x:c>
      <x:c r="E78" s="23" t="n">
        <x:v>600</x:v>
      </x:c>
      <x:c r="F78" s="23" t="n">
        <x:v>635496</x:v>
      </x:c>
      <x:c r="G78" s="23" t="n">
        <x:v>79450</x:v>
      </x:c>
      <x:c r="H78" s="23" t="n">
        <x:v>79457</x:v>
      </x:c>
      <x:c r="I78" s="24" t="n">
        <x:v>0.6368660935051437</x:v>
      </x:c>
      <x:c r="J78" s="24" t="n">
        <x:v>0.10542495972832282</x:v>
      </x:c>
      <x:c r="K78" s="24" t="n">
        <x:v>0.3711455266167332</x:v>
      </x:c>
      <x:c r="L78" s="24" t="n">
        <x:v>0.22095893323421478</x:v>
      </x:c>
      <x:c r="M78" s="24" t="n">
        <x:v>0.6365109956732058</x:v>
      </x:c>
      <x:c r="N78" s="24" t="n">
        <x:v>0.10576437871892712</x:v>
      </x:c>
      <x:c r="O78" s="24" t="n">
        <x:v>0.37113768719606643</x:v>
      </x:c>
      <x:c r="P78" s="24"/>
      <x:c r="Q78" s="24"/>
      <x:c r="R78" s="24"/>
      <x:c r="S78" s="24"/>
      <x:c r="T78" s="24"/>
      <x:c r="U78" s="24"/>
      <x:c r="V78" s="24"/>
      <x:c r="W78" s="23" t="n">
        <x:v>3</x:v>
      </x:c>
      <x:c r="X78" s="23" t="n">
        <x:v>31</x:v>
      </x:c>
      <x:c r="Y78" s="25" t="n">
        <x:v>24.348283826431725</x:v>
      </x:c>
      <x:c r="Z78" s="23" t="str">
        <x:v>benchmark/preprocessing_training/dim_600/max/msms_pos/seed_41/cnn/pos_msms/original/metrics.json</x:v>
      </x:c>
    </x:row>
    <x:row r="79">
      <x:c r="A79" s="23" t="str">
        <x:v>max</x:v>
      </x:c>
      <x:c r="B79" s="23" t="str">
        <x:v>msms_pos</x:v>
      </x:c>
      <x:c r="C79" s="23" t="str">
        <x:v>mps</x:v>
      </x:c>
      <x:c r="D79" s="23" t="n">
        <x:v>41</x:v>
      </x:c>
      <x:c r="E79" s="23" t="n">
        <x:v>600</x:v>
      </x:c>
      <x:c r="F79" s="23"/>
      <x:c r="G79" s="23"/>
      <x:c r="H79" s="23"/>
      <x:c r="I79" s="24" t="n">
        <x:v>0.2909</x:v>
      </x:c>
      <x:c r="J79" s="24" t="n">
        <x:v>0.1753</x:v>
      </x:c>
      <x:c r="K79" s="24" t="n">
        <x:v>0.2331</x:v>
      </x:c>
      <x:c r="L79" s="24" t="n">
        <x:v>1.4723</x:v>
      </x:c>
      <x:c r="M79" s="24" t="n">
        <x:v>0.2906149735243808</x:v>
      </x:c>
      <x:c r="N79" s="24" t="n">
        <x:v>0.17531387273714524</x:v>
      </x:c>
      <x:c r="O79" s="24" t="n">
        <x:v>0.23296442313076304</x:v>
      </x:c>
      <x:c r="P79" s="24" t="n">
        <x:v>1.2796</x:v>
      </x:c>
      <x:c r="Q79" s="24" t="n">
        <x:v>0</x:v>
      </x:c>
      <x:c r="R79" s="24" t="n">
        <x:v>0.5478</x:v>
      </x:c>
      <x:c r="S79" s="24" t="n">
        <x:v>0.1933</x:v>
      </x:c>
      <x:c r="T79" s="24" t="n">
        <x:v>0.1581</x:v>
      </x:c>
      <x:c r="U79" s="24" t="n">
        <x:v>0.5851</x:v>
      </x:c>
      <x:c r="V79" s="24" t="n">
        <x:v>0.5506</x:v>
      </x:c>
      <x:c r="W79" s="23" t="n">
        <x:v>19</x:v>
      </x:c>
      <x:c r="X79" s="23" t="n">
        <x:v>39</x:v>
      </x:c>
      <x:c r="Y79" s="25" t="n">
        <x:v>27</x:v>
      </x:c>
      <x:c r="Z79" s="23" t="str">
        <x:v>benchmark/preprocessing_training/dim_600/max/msms_pos/seed_41/mps/results/metrics.json</x:v>
      </x:c>
    </x:row>
    <x:row r="80">
      <x:c r="A80" s="23" t="str">
        <x:v>max</x:v>
      </x:c>
      <x:c r="B80" s="23" t="str">
        <x:v>msms_pos</x:v>
      </x:c>
      <x:c r="C80" s="23" t="str">
        <x:v>ttn</x:v>
      </x:c>
      <x:c r="D80" s="23" t="n">
        <x:v>41</x:v>
      </x:c>
      <x:c r="E80" s="23" t="n">
        <x:v>600</x:v>
      </x:c>
      <x:c r="F80" s="23"/>
      <x:c r="G80" s="23"/>
      <x:c r="H80" s="23"/>
      <x:c r="I80" s="24" t="n">
        <x:v>0.6484210160217023</x:v>
      </x:c>
      <x:c r="J80" s="24" t="n">
        <x:v>0.14450987332829285</x:v>
      </x:c>
      <x:c r="K80" s="24" t="n">
        <x:v>0.39646544467499756</x:v>
      </x:c>
      <x:c r="L80" s="24" t="n">
        <x:v>0.400129</x:v>
      </x:c>
      <x:c r="M80" s="24" t="n">
        <x:v>0.648002412531244</x:v>
      </x:c>
      <x:c r="N80" s="24" t="n">
        <x:v>0.14505743702834545</x:v>
      </x:c>
      <x:c r="O80" s="24" t="n">
        <x:v>0.39652992477979476</x:v>
      </x:c>
      <x:c r="P80" s="24" t="n">
        <x:v>0.40048</x:v>
      </x:c>
      <x:c r="Q80" s="24"/>
      <x:c r="R80" s="24"/>
      <x:c r="S80" s="24" t="n">
        <x:v>0.720663</x:v>
      </x:c>
      <x:c r="T80" s="24"/>
      <x:c r="U80" s="24" t="n">
        <x:v>0.588652</x:v>
      </x:c>
      <x:c r="V80" s="24"/>
      <x:c r="W80" s="23" t="n">
        <x:v>4</x:v>
      </x:c>
      <x:c r="X80" s="23" t="n">
        <x:v>51</x:v>
      </x:c>
      <x:c r="Y80" s="25" t="n">
        <x:v>14.758999999999999</x:v>
      </x:c>
      <x:c r="Z80" s="23" t="str">
        <x:v>benchmark/preprocessing_training/dim_600/max/msms_pos/seed_41/ttn/metrics.json</x:v>
      </x:c>
    </x:row>
    <x:row r="81">
      <x:c r="A81" s="23" t="str">
        <x:v>max</x:v>
      </x:c>
      <x:c r="B81" s="23" t="str">
        <x:v>msms_pos</x:v>
      </x:c>
      <x:c r="C81" s="23" t="str">
        <x:v>xgboost</x:v>
      </x:c>
      <x:c r="D81" s="23" t="n">
        <x:v>41</x:v>
      </x:c>
      <x:c r="E81" s="23" t="n">
        <x:v>600</x:v>
      </x:c>
      <x:c r="F81" s="23" t="n">
        <x:v>635496</x:v>
      </x:c>
      <x:c r="G81" s="23" t="n">
        <x:v>79450</x:v>
      </x:c>
      <x:c r="H81" s="23" t="n">
        <x:v>79457</x:v>
      </x:c>
      <x:c r="I81" s="24" t="n">
        <x:v>0.6313239913988121</x:v>
      </x:c>
      <x:c r="J81" s="24" t="n">
        <x:v>0.10188422349032843</x:v>
      </x:c>
      <x:c r="K81" s="24" t="n">
        <x:v>0.3666041074445703</x:v>
      </x:c>
      <x:c r="L81" s="24"/>
      <x:c r="M81" s="24" t="n">
        <x:v>0.6309363799283154</x:v>
      </x:c>
      <x:c r="N81" s="24" t="n">
        <x:v>0.1023526419100647</x:v>
      </x:c>
      <x:c r="O81" s="24" t="n">
        <x:v>0.36664451091919004</x:v>
      </x:c>
      <x:c r="P81" s="24"/>
      <x:c r="Q81" s="24"/>
      <x:c r="R81" s="24"/>
      <x:c r="S81" s="24"/>
      <x:c r="T81" s="24"/>
      <x:c r="U81" s="24"/>
      <x:c r="V81" s="24"/>
      <x:c r="W81" s="23"/>
      <x:c r="X81" s="23"/>
      <x:c r="Y81" s="25" t="n">
        <x:v>2.63000986870029</x:v>
      </x:c>
      <x:c r="Z81" s="23" t="str">
        <x:v>benchmark/preprocessing_training/dim_600/max/msms_pos/seed_41/xgboost/pos_msms/original/metrics.json</x:v>
      </x:c>
    </x:row>
    <x:row r="82">
      <x:c r="A82" s="23" t="str">
        <x:v>minmax</x:v>
      </x:c>
      <x:c r="B82" s="23" t="str">
        <x:v>cnmr</x:v>
      </x:c>
      <x:c r="C82" s="23" t="str">
        <x:v>cnn</x:v>
      </x:c>
      <x:c r="D82" s="23" t="n">
        <x:v>41</x:v>
      </x:c>
      <x:c r="E82" s="23" t="n">
        <x:v>600</x:v>
      </x:c>
      <x:c r="F82" s="23" t="n">
        <x:v>635496</x:v>
      </x:c>
      <x:c r="G82" s="23" t="n">
        <x:v>79450</x:v>
      </x:c>
      <x:c r="H82" s="23" t="n">
        <x:v>79457</x:v>
      </x:c>
      <x:c r="I82" s="24" t="n">
        <x:v>0.6806673767780774</x:v>
      </x:c>
      <x:c r="J82" s="24" t="n">
        <x:v>0.22879145971587303</x:v>
      </x:c>
      <x:c r="K82" s="24" t="n">
        <x:v>0.4547294182469752</x:v>
      </x:c>
      <x:c r="L82" s="24" t="n">
        <x:v>0.1670447140932083</x:v>
      </x:c>
      <x:c r="M82" s="24" t="n">
        <x:v>0.6813775950589183</x:v>
      </x:c>
      <x:c r="N82" s="24" t="n">
        <x:v>0.22899594052915379</x:v>
      </x:c>
      <x:c r="O82" s="24" t="n">
        <x:v>0.455186767794036</x:v>
      </x:c>
      <x:c r="P82" s="24"/>
      <x:c r="Q82" s="24"/>
      <x:c r="R82" s="24"/>
      <x:c r="S82" s="24"/>
      <x:c r="T82" s="24"/>
      <x:c r="U82" s="24"/>
      <x:c r="V82" s="24"/>
      <x:c r="W82" s="23" t="n">
        <x:v>20</x:v>
      </x:c>
      <x:c r="X82" s="23" t="n">
        <x:v>40</x:v>
      </x:c>
      <x:c r="Y82" s="25" t="n">
        <x:v>30.5415553239504</x:v>
      </x:c>
      <x:c r="Z82" s="23" t="str">
        <x:v>benchmark/preprocessing_training/dim_600/minmax/cnmr/seed_41/cnn/cnmr/original/metrics.json</x:v>
      </x:c>
    </x:row>
    <x:row r="83">
      <x:c r="A83" s="23" t="str">
        <x:v>minmax</x:v>
      </x:c>
      <x:c r="B83" s="23" t="str">
        <x:v>cnmr</x:v>
      </x:c>
      <x:c r="C83" s="23" t="str">
        <x:v>mps</x:v>
      </x:c>
      <x:c r="D83" s="23" t="n">
        <x:v>41</x:v>
      </x:c>
      <x:c r="E83" s="23" t="n">
        <x:v>600</x:v>
      </x:c>
      <x:c r="F83" s="23"/>
      <x:c r="G83" s="23"/>
      <x:c r="H83" s="23"/>
      <x:c r="I83" s="24" t="n">
        <x:v>0.6679</x:v>
      </x:c>
      <x:c r="J83" s="24" t="n">
        <x:v>0.3497</x:v>
      </x:c>
      <x:c r="K83" s="24" t="n">
        <x:v>0.5088</x:v>
      </x:c>
      <x:c r="L83" s="24" t="n">
        <x:v>11.3008</x:v>
      </x:c>
      <x:c r="M83" s="24" t="n">
        <x:v>0.6681722181846561</x:v>
      </x:c>
      <x:c r="N83" s="24" t="n">
        <x:v>0.349938024159798</x:v>
      </x:c>
      <x:c r="O83" s="24" t="n">
        <x:v>0.5090551211722271</x:v>
      </x:c>
      <x:c r="P83" s="24" t="n">
        <x:v>11.081</x:v>
      </x:c>
      <x:c r="Q83" s="24" t="n">
        <x:v>0.0421</x:v>
      </x:c>
      <x:c r="R83" s="24" t="n">
        <x:v>0.695</x:v>
      </x:c>
      <x:c r="S83" s="24" t="n">
        <x:v>0.6221</x:v>
      </x:c>
      <x:c r="T83" s="24" t="n">
        <x:v>0.3342</x:v>
      </x:c>
      <x:c r="U83" s="24" t="n">
        <x:v>0.7217</x:v>
      </x:c>
      <x:c r="V83" s="24" t="n">
        <x:v>0.3828</x:v>
      </x:c>
      <x:c r="W83" s="23" t="n">
        <x:v>175</x:v>
      </x:c>
      <x:c r="X83" s="23" t="n">
        <x:v>184</x:v>
      </x:c>
      <x:c r="Y83" s="25" t="n">
        <x:v>256.5</x:v>
      </x:c>
      <x:c r="Z83" s="23" t="str">
        <x:v>benchmark/preprocessing_training/dim_600/minmax/cnmr/seed_41/mps/results/metrics.json</x:v>
      </x:c>
    </x:row>
    <x:row r="84">
      <x:c r="A84" s="23" t="str">
        <x:v>minmax</x:v>
      </x:c>
      <x:c r="B84" s="23" t="str">
        <x:v>cnmr</x:v>
      </x:c>
      <x:c r="C84" s="23" t="str">
        <x:v>ttn</x:v>
      </x:c>
      <x:c r="D84" s="23" t="n">
        <x:v>41</x:v>
      </x:c>
      <x:c r="E84" s="23" t="n">
        <x:v>600</x:v>
      </x:c>
      <x:c r="F84" s="23"/>
      <x:c r="G84" s="23"/>
      <x:c r="H84" s="23"/>
      <x:c r="I84" s="24" t="n">
        <x:v>0.7154535188471415</x:v>
      </x:c>
      <x:c r="J84" s="24" t="n">
        <x:v>0.33234122042942527</x:v>
      </x:c>
      <x:c r="K84" s="24" t="n">
        <x:v>0.5238973696382834</x:v>
      </x:c>
      <x:c r="L84" s="24" t="n">
        <x:v>0.320743</x:v>
      </x:c>
      <x:c r="M84" s="24" t="n">
        <x:v>0.7159323431906985</x:v>
      </x:c>
      <x:c r="N84" s="24" t="n">
        <x:v>0.3291361533197521</x:v>
      </x:c>
      <x:c r="O84" s="24" t="n">
        <x:v>0.5225342482552253</x:v>
      </x:c>
      <x:c r="P84" s="24" t="n">
        <x:v>0.320399</x:v>
      </x:c>
      <x:c r="Q84" s="24"/>
      <x:c r="R84" s="24"/>
      <x:c r="S84" s="24" t="n">
        <x:v>0.718544</x:v>
      </x:c>
      <x:c r="T84" s="24"/>
      <x:c r="U84" s="24" t="n">
        <x:v>0.713339</x:v>
      </x:c>
      <x:c r="V84" s="24"/>
      <x:c r="W84" s="23" t="n">
        <x:v>25</x:v>
      </x:c>
      <x:c r="X84" s="23" t="n">
        <x:v>53</x:v>
      </x:c>
      <x:c r="Y84" s="25" t="n">
        <x:v>15.228</x:v>
      </x:c>
      <x:c r="Z84" s="23" t="str">
        <x:v>benchmark/preprocessing_training/dim_600/minmax/cnmr/seed_41/ttn/metrics.json</x:v>
      </x:c>
    </x:row>
    <x:row r="85">
      <x:c r="A85" s="23" t="str">
        <x:v>minmax</x:v>
      </x:c>
      <x:c r="B85" s="23" t="str">
        <x:v>cnmr</x:v>
      </x:c>
      <x:c r="C85" s="23" t="str">
        <x:v>xgboost</x:v>
      </x:c>
      <x:c r="D85" s="23" t="n">
        <x:v>41</x:v>
      </x:c>
      <x:c r="E85" s="23" t="n">
        <x:v>600</x:v>
      </x:c>
      <x:c r="F85" s="23" t="n">
        <x:v>635496</x:v>
      </x:c>
      <x:c r="G85" s="23" t="n">
        <x:v>79450</x:v>
      </x:c>
      <x:c r="H85" s="23" t="n">
        <x:v>79457</x:v>
      </x:c>
      <x:c r="I85" s="24" t="n">
        <x:v>0.7732990698518436</x:v>
      </x:c>
      <x:c r="J85" s="24" t="n">
        <x:v>0.35886844521723776</x:v>
      </x:c>
      <x:c r="K85" s="24" t="n">
        <x:v>0.5660837575345407</x:v>
      </x:c>
      <x:c r="L85" s="24"/>
      <x:c r="M85" s="24" t="n">
        <x:v>0.7733421525529884</x:v>
      </x:c>
      <x:c r="N85" s="24" t="n">
        <x:v>0.34920774669822974</x:v>
      </x:c>
      <x:c r="O85" s="24" t="n">
        <x:v>0.5612749496256091</x:v>
      </x:c>
      <x:c r="P85" s="24"/>
      <x:c r="Q85" s="24"/>
      <x:c r="R85" s="24"/>
      <x:c r="S85" s="24"/>
      <x:c r="T85" s="24"/>
      <x:c r="U85" s="24"/>
      <x:c r="V85" s="24"/>
      <x:c r="W85" s="23"/>
      <x:c r="X85" s="23"/>
      <x:c r="Y85" s="25" t="n">
        <x:v>5.9075283301664365</x:v>
      </x:c>
      <x:c r="Z85" s="23" t="str">
        <x:v>benchmark/preprocessing_training/dim_600/minmax/cnmr/seed_41/xgboost/cnmr/original/metrics.json</x:v>
      </x:c>
    </x:row>
    <x:row r="86">
      <x:c r="A86" s="23" t="str">
        <x:v>minmax</x:v>
      </x:c>
      <x:c r="B86" s="23" t="str">
        <x:v>hnmr</x:v>
      </x:c>
      <x:c r="C86" s="23" t="str">
        <x:v>cnn</x:v>
      </x:c>
      <x:c r="D86" s="23" t="n">
        <x:v>41</x:v>
      </x:c>
      <x:c r="E86" s="23" t="n">
        <x:v>600</x:v>
      </x:c>
      <x:c r="F86" s="23" t="n">
        <x:v>635496</x:v>
      </x:c>
      <x:c r="G86" s="23" t="n">
        <x:v>79450</x:v>
      </x:c>
      <x:c r="H86" s="23" t="n">
        <x:v>79457</x:v>
      </x:c>
      <x:c r="I86" s="24" t="n">
        <x:v>0.7506831484114849</x:v>
      </x:c>
      <x:c r="J86" s="24" t="n">
        <x:v>0.2758762845010817</x:v>
      </x:c>
      <x:c r="K86" s="24" t="n">
        <x:v>0.5132797164562832</x:v>
      </x:c>
      <x:c r="L86" s="24" t="n">
        <x:v>0.14798805117607117</x:v>
      </x:c>
      <x:c r="M86" s="24" t="n">
        <x:v>0.7506361247517924</x:v>
      </x:c>
      <x:c r="N86" s="24" t="n">
        <x:v>0.27564212626174006</x:v>
      </x:c>
      <x:c r="O86" s="24" t="n">
        <x:v>0.5131391255067662</x:v>
      </x:c>
      <x:c r="P86" s="24"/>
      <x:c r="Q86" s="24"/>
      <x:c r="R86" s="24"/>
      <x:c r="S86" s="24"/>
      <x:c r="T86" s="24"/>
      <x:c r="U86" s="24"/>
      <x:c r="V86" s="24"/>
      <x:c r="W86" s="23" t="n">
        <x:v>9</x:v>
      </x:c>
      <x:c r="X86" s="23" t="n">
        <x:v>29</x:v>
      </x:c>
      <x:c r="Y86" s="25" t="n">
        <x:v>20.97412148795168</x:v>
      </x:c>
      <x:c r="Z86" s="23" t="str">
        <x:v>benchmark/preprocessing_training/dim_600/minmax/hnmr/seed_41/cnn/hnmr/original/metrics.json</x:v>
      </x:c>
    </x:row>
    <x:row r="87">
      <x:c r="A87" s="23" t="str">
        <x:v>minmax</x:v>
      </x:c>
      <x:c r="B87" s="23" t="str">
        <x:v>hnmr</x:v>
      </x:c>
      <x:c r="C87" s="23" t="str">
        <x:v>mps</x:v>
      </x:c>
      <x:c r="D87" s="23" t="n">
        <x:v>41</x:v>
      </x:c>
      <x:c r="E87" s="23" t="n">
        <x:v>600</x:v>
      </x:c>
      <x:c r="F87" s="23"/>
      <x:c r="G87" s="23"/>
      <x:c r="H87" s="23"/>
      <x:c r="I87" s="24" t="n">
        <x:v>0.7012</x:v>
      </x:c>
      <x:c r="J87" s="24" t="n">
        <x:v>0.3719</x:v>
      </x:c>
      <x:c r="K87" s="24" t="n">
        <x:v>0.5365500000000001</x:v>
      </x:c>
      <x:c r="L87" s="24" t="n">
        <x:v>10.6713</x:v>
      </x:c>
      <x:c r="M87" s="24" t="n">
        <x:v>0.7011714267832182</x:v>
      </x:c>
      <x:c r="N87" s="24" t="n">
        <x:v>0.3650554921691385</x:v>
      </x:c>
      <x:c r="O87" s="24" t="n">
        <x:v>0.5331134594761784</x:v>
      </x:c>
      <x:c r="P87" s="24" t="n">
        <x:v>10.4498</x:v>
      </x:c>
      <x:c r="Q87" s="24" t="n">
        <x:v>0.0794</x:v>
      </x:c>
      <x:c r="R87" s="24" t="n">
        <x:v>0.7069</x:v>
      </x:c>
      <x:c r="S87" s="24" t="n">
        <x:v>0.6942</x:v>
      </x:c>
      <x:c r="T87" s="24" t="n">
        <x:v>0.3907</x:v>
      </x:c>
      <x:c r="U87" s="24" t="n">
        <x:v>0.7082</x:v>
      </x:c>
      <x:c r="V87" s="24" t="n">
        <x:v>0.3523</x:v>
      </x:c>
      <x:c r="W87" s="23" t="n">
        <x:v>158</x:v>
      </x:c>
      <x:c r="X87" s="23" t="n">
        <x:v>167</x:v>
      </x:c>
      <x:c r="Y87" s="25" t="n">
        <x:v>107.7</x:v>
      </x:c>
      <x:c r="Z87" s="23" t="str">
        <x:v>benchmark/preprocessing_training/dim_600/minmax/hnmr/seed_41/mps/results/metrics.json</x:v>
      </x:c>
    </x:row>
    <x:row r="88">
      <x:c r="A88" s="23" t="str">
        <x:v>minmax</x:v>
      </x:c>
      <x:c r="B88" s="23" t="str">
        <x:v>hnmr</x:v>
      </x:c>
      <x:c r="C88" s="23" t="str">
        <x:v>ttn</x:v>
      </x:c>
      <x:c r="D88" s="23" t="n">
        <x:v>41</x:v>
      </x:c>
      <x:c r="E88" s="23" t="n">
        <x:v>600</x:v>
      </x:c>
      <x:c r="F88" s="23"/>
      <x:c r="G88" s="23"/>
      <x:c r="H88" s="23"/>
      <x:c r="I88" s="24" t="n">
        <x:v>0.6903627741395572</x:v>
      </x:c>
      <x:c r="J88" s="24" t="n">
        <x:v>0.3082411398718396</x:v>
      </x:c>
      <x:c r="K88" s="24" t="n">
        <x:v>0.49930195700569835</x:v>
      </x:c>
      <x:c r="L88" s="24" t="n">
        <x:v>0.37353</x:v>
      </x:c>
      <x:c r="M88" s="24" t="n">
        <x:v>0.6899887451283149</x:v>
      </x:c>
      <x:c r="N88" s="24" t="n">
        <x:v>0.30279515576926447</x:v>
      </x:c>
      <x:c r="O88" s="24" t="n">
        <x:v>0.4963919504487897</x:v>
      </x:c>
      <x:c r="P88" s="24" t="n">
        <x:v>0.372618</x:v>
      </x:c>
      <x:c r="Q88" s="24"/>
      <x:c r="R88" s="24"/>
      <x:c r="S88" s="24" t="n">
        <x:v>0.696197</x:v>
      </x:c>
      <x:c r="T88" s="24"/>
      <x:c r="U88" s="24" t="n">
        <x:v>0.68389</x:v>
      </x:c>
      <x:c r="V88" s="24"/>
      <x:c r="W88" s="23" t="n">
        <x:v>46</x:v>
      </x:c>
      <x:c r="X88" s="23" t="n">
        <x:v>66</x:v>
      </x:c>
      <x:c r="Y88" s="25" t="n">
        <x:v>18.807333333333336</x:v>
      </x:c>
      <x:c r="Z88" s="23" t="str">
        <x:v>benchmark/preprocessing_training/dim_600/minmax/hnmr/seed_41/ttn/metrics.json</x:v>
      </x:c>
    </x:row>
    <x:row r="89">
      <x:c r="A89" s="23" t="str">
        <x:v>minmax</x:v>
      </x:c>
      <x:c r="B89" s="23" t="str">
        <x:v>hnmr</x:v>
      </x:c>
      <x:c r="C89" s="23" t="str">
        <x:v>xgboost</x:v>
      </x:c>
      <x:c r="D89" s="23" t="n">
        <x:v>41</x:v>
      </x:c>
      <x:c r="E89" s="23" t="n">
        <x:v>600</x:v>
      </x:c>
      <x:c r="F89" s="23" t="n">
        <x:v>635496</x:v>
      </x:c>
      <x:c r="G89" s="23" t="n">
        <x:v>79450</x:v>
      </x:c>
      <x:c r="H89" s="23" t="n">
        <x:v>79457</x:v>
      </x:c>
      <x:c r="I89" s="24" t="n">
        <x:v>0.74681195788966</x:v>
      </x:c>
      <x:c r="J89" s="24" t="n">
        <x:v>0.3192173249026401</x:v>
      </x:c>
      <x:c r="K89" s="24" t="n">
        <x:v>0.5330146413961501</x:v>
      </x:c>
      <x:c r="L89" s="24"/>
      <x:c r="M89" s="24" t="n">
        <x:v>0.7474279199254391</x:v>
      </x:c>
      <x:c r="N89" s="24" t="n">
        <x:v>0.30660818335897455</x:v>
      </x:c>
      <x:c r="O89" s="24" t="n">
        <x:v>0.5270180516422068</x:v>
      </x:c>
      <x:c r="P89" s="24"/>
      <x:c r="Q89" s="24"/>
      <x:c r="R89" s="24"/>
      <x:c r="S89" s="24"/>
      <x:c r="T89" s="24"/>
      <x:c r="U89" s="24"/>
      <x:c r="V89" s="24"/>
      <x:c r="W89" s="23"/>
      <x:c r="X89" s="23"/>
      <x:c r="Y89" s="25" t="n">
        <x:v>5.93125395194899</x:v>
      </x:c>
      <x:c r="Z89" s="23" t="str">
        <x:v>benchmark/preprocessing_training/dim_600/minmax/hnmr/seed_41/xgboost/hnmr/original/metrics.json</x:v>
      </x:c>
    </x:row>
    <x:row r="90">
      <x:c r="A90" s="23" t="str">
        <x:v>minmax</x:v>
      </x:c>
      <x:c r="B90" s="23" t="str">
        <x:v>ir</x:v>
      </x:c>
      <x:c r="C90" s="23" t="str">
        <x:v>cnn</x:v>
      </x:c>
      <x:c r="D90" s="23" t="n">
        <x:v>41</x:v>
      </x:c>
      <x:c r="E90" s="23" t="n">
        <x:v>600</x:v>
      </x:c>
      <x:c r="F90" s="23" t="n">
        <x:v>635496</x:v>
      </x:c>
      <x:c r="G90" s="23" t="n">
        <x:v>79450</x:v>
      </x:c>
      <x:c r="H90" s="23" t="n">
        <x:v>79457</x:v>
      </x:c>
      <x:c r="I90" s="24" t="n">
        <x:v>0.8864406664722676</x:v>
      </x:c>
      <x:c r="J90" s="24" t="n">
        <x:v>0.6575008116748833</x:v>
      </x:c>
      <x:c r="K90" s="24" t="n">
        <x:v>0.7719707390735755</x:v>
      </x:c>
      <x:c r="L90" s="24" t="n">
        <x:v>0.07666836678981781</x:v>
      </x:c>
      <x:c r="M90" s="24" t="n">
        <x:v>0.8863701387542356</x:v>
      </x:c>
      <x:c r="N90" s="24" t="n">
        <x:v>0.6616504039189447</x:v>
      </x:c>
      <x:c r="O90" s="24" t="n">
        <x:v>0.7740102713365902</x:v>
      </x:c>
      <x:c r="P90" s="24"/>
      <x:c r="Q90" s="24"/>
      <x:c r="R90" s="24"/>
      <x:c r="S90" s="24"/>
      <x:c r="T90" s="24"/>
      <x:c r="U90" s="24"/>
      <x:c r="V90" s="24"/>
      <x:c r="W90" s="23" t="n">
        <x:v>40</x:v>
      </x:c>
      <x:c r="X90" s="23" t="n">
        <x:v>48</x:v>
      </x:c>
      <x:c r="Y90" s="25" t="n">
        <x:v>34.21187387063207</x:v>
      </x:c>
      <x:c r="Z90" s="23" t="str">
        <x:v>benchmark/preprocessing_training/dim_600/minmax/ir/seed_41/cnn/ir/original/metrics.json</x:v>
      </x:c>
    </x:row>
    <x:row r="91">
      <x:c r="A91" s="23" t="str">
        <x:v>minmax</x:v>
      </x:c>
      <x:c r="B91" s="23" t="str">
        <x:v>ir</x:v>
      </x:c>
      <x:c r="C91" s="23" t="str">
        <x:v>mps</x:v>
      </x:c>
      <x:c r="D91" s="23" t="n">
        <x:v>41</x:v>
      </x:c>
      <x:c r="E91" s="23" t="n">
        <x:v>600</x:v>
      </x:c>
      <x:c r="F91" s="23"/>
      <x:c r="G91" s="23"/>
      <x:c r="H91" s="23"/>
      <x:c r="I91" s="24" t="n">
        <x:v>0.843</x:v>
      </x:c>
      <x:c r="J91" s="24" t="n">
        <x:v>0.6714</x:v>
      </x:c>
      <x:c r="K91" s="24" t="n">
        <x:v>0.7572</x:v>
      </x:c>
      <x:c r="L91" s="24" t="n">
        <x:v>4.0876</x:v>
      </x:c>
      <x:c r="M91" s="24" t="n">
        <x:v>0.8436325519758424</x:v>
      </x:c>
      <x:c r="N91" s="24" t="n">
        <x:v>0.6694012204346553</x:v>
      </x:c>
      <x:c r="O91" s="24" t="n">
        <x:v>0.7565168862052489</x:v>
      </x:c>
      <x:c r="P91" s="24" t="n">
        <x:v>4.0688</x:v>
      </x:c>
      <x:c r="Q91" s="24" t="n">
        <x:v>0.2601</x:v>
      </x:c>
      <x:c r="R91" s="24" t="n">
        <x:v>0.8421</x:v>
      </x:c>
      <x:c r="S91" s="24" t="n">
        <x:v>0.8706</x:v>
      </x:c>
      <x:c r="T91" s="24" t="n">
        <x:v>0.7284</x:v>
      </x:c>
      <x:c r="U91" s="24" t="n">
        <x:v>0.8183</x:v>
      </x:c>
      <x:c r="V91" s="24" t="n">
        <x:v>0.6323</x:v>
      </x:c>
      <x:c r="W91" s="23" t="n">
        <x:v>146</x:v>
      </x:c>
      <x:c r="X91" s="23" t="n">
        <x:v>147</x:v>
      </x:c>
      <x:c r="Y91" s="25" t="n">
        <x:v>94</x:v>
      </x:c>
      <x:c r="Z91" s="23" t="str">
        <x:v>benchmark/preprocessing_training/dim_600/minmax/ir/seed_41/mps/results/metrics.json</x:v>
      </x:c>
    </x:row>
    <x:row r="92">
      <x:c r="A92" s="23" t="str">
        <x:v>minmax</x:v>
      </x:c>
      <x:c r="B92" s="23" t="str">
        <x:v>ir</x:v>
      </x:c>
      <x:c r="C92" s="23" t="str">
        <x:v>ttn</x:v>
      </x:c>
      <x:c r="D92" s="23" t="n">
        <x:v>41</x:v>
      </x:c>
      <x:c r="E92" s="23" t="n">
        <x:v>600</x:v>
      </x:c>
      <x:c r="F92" s="23"/>
      <x:c r="G92" s="23"/>
      <x:c r="H92" s="23"/>
      <x:c r="I92" s="24" t="n">
        <x:v>0.8184193226714135</x:v>
      </x:c>
      <x:c r="J92" s="24" t="n">
        <x:v>0.5859439956467265</x:v>
      </x:c>
      <x:c r="K92" s="24" t="n">
        <x:v>0.7021816591590699</x:v>
      </x:c>
      <x:c r="L92" s="24" t="n">
        <x:v>0.187685</x:v>
      </x:c>
      <x:c r="M92" s="24" t="n">
        <x:v>0.81888527092077</x:v>
      </x:c>
      <x:c r="N92" s="24" t="n">
        <x:v>0.5646807160459979</x:v>
      </x:c>
      <x:c r="O92" s="24" t="n">
        <x:v>0.6917829934833839</x:v>
      </x:c>
      <x:c r="P92" s="24" t="n">
        <x:v>0.187875</x:v>
      </x:c>
      <x:c r="Q92" s="24"/>
      <x:c r="R92" s="24"/>
      <x:c r="S92" s="24" t="n">
        <x:v>0.812471</x:v>
      </x:c>
      <x:c r="T92" s="24"/>
      <x:c r="U92" s="24" t="n">
        <x:v>0.825402</x:v>
      </x:c>
      <x:c r="V92" s="24"/>
      <x:c r="W92" s="23" t="n">
        <x:v>29</x:v>
      </x:c>
      <x:c r="X92" s="23" t="n">
        <x:v>52</x:v>
      </x:c>
      <x:c r="Y92" s="25" t="n">
        <x:v>14.881499999999999</x:v>
      </x:c>
      <x:c r="Z92" s="23" t="str">
        <x:v>benchmark/preprocessing_training/dim_600/minmax/ir/seed_41/ttn/metrics.json</x:v>
      </x:c>
    </x:row>
    <x:row r="93">
      <x:c r="A93" s="23" t="str">
        <x:v>minmax</x:v>
      </x:c>
      <x:c r="B93" s="23" t="str">
        <x:v>ir</x:v>
      </x:c>
      <x:c r="C93" s="23" t="str">
        <x:v>xgboost</x:v>
      </x:c>
      <x:c r="D93" s="23" t="n">
        <x:v>41</x:v>
      </x:c>
      <x:c r="E93" s="23" t="n">
        <x:v>600</x:v>
      </x:c>
      <x:c r="F93" s="23" t="n">
        <x:v>635496</x:v>
      </x:c>
      <x:c r="G93" s="23" t="n">
        <x:v>79450</x:v>
      </x:c>
      <x:c r="H93" s="23" t="n">
        <x:v>79457</x:v>
      </x:c>
      <x:c r="I93" s="24" t="n">
        <x:v>0.8276898611707255</x:v>
      </x:c>
      <x:c r="J93" s="24" t="n">
        <x:v>0.5241948963673866</x:v>
      </x:c>
      <x:c r="K93" s="24" t="n">
        <x:v>0.675942378769056</x:v>
      </x:c>
      <x:c r="L93" s="24"/>
      <x:c r="M93" s="24" t="n">
        <x:v>0.8280206715872666</x:v>
      </x:c>
      <x:c r="N93" s="24" t="n">
        <x:v>0.5167926005234567</x:v>
      </x:c>
      <x:c r="O93" s="24" t="n">
        <x:v>0.6724066360553616</x:v>
      </x:c>
      <x:c r="P93" s="24"/>
      <x:c r="Q93" s="24"/>
      <x:c r="R93" s="24"/>
      <x:c r="S93" s="24"/>
      <x:c r="T93" s="24"/>
      <x:c r="U93" s="24"/>
      <x:c r="V93" s="24"/>
      <x:c r="W93" s="23"/>
      <x:c r="X93" s="23"/>
      <x:c r="Y93" s="25" t="n">
        <x:v>6.295681105416346</x:v>
      </x:c>
      <x:c r="Z93" s="23" t="str">
        <x:v>benchmark/preprocessing_training/dim_600/minmax/ir/seed_41/xgboost/ir/original/metrics.json</x:v>
      </x:c>
    </x:row>
    <x:row r="94">
      <x:c r="A94" s="23" t="str">
        <x:v>minmax</x:v>
      </x:c>
      <x:c r="B94" s="23" t="str">
        <x:v>msms_neg</x:v>
      </x:c>
      <x:c r="C94" s="23" t="str">
        <x:v>cnn</x:v>
      </x:c>
      <x:c r="D94" s="23" t="n">
        <x:v>41</x:v>
      </x:c>
      <x:c r="E94" s="23" t="n">
        <x:v>600</x:v>
      </x:c>
      <x:c r="F94" s="23" t="n">
        <x:v>635496</x:v>
      </x:c>
      <x:c r="G94" s="23" t="n">
        <x:v>79450</x:v>
      </x:c>
      <x:c r="H94" s="23" t="n">
        <x:v>79457</x:v>
      </x:c>
      <x:c r="I94" s="24" t="n">
        <x:v>0.6364746199656683</x:v>
      </x:c>
      <x:c r="J94" s="24" t="n">
        <x:v>0.11171302501530087</x:v>
      </x:c>
      <x:c r="K94" s="24" t="n">
        <x:v>0.3740938224904846</x:v>
      </x:c>
      <x:c r="L94" s="24" t="n">
        <x:v>0.20444275438785553</x:v>
      </x:c>
      <x:c r="M94" s="24" t="n">
        <x:v>0.6364747792320887</x:v>
      </x:c>
      <x:c r="N94" s="24" t="n">
        <x:v>0.11164959837122532</x:v>
      </x:c>
      <x:c r="O94" s="24" t="n">
        <x:v>0.37406218880165704</x:v>
      </x:c>
      <x:c r="P94" s="24"/>
      <x:c r="Q94" s="24"/>
      <x:c r="R94" s="24"/>
      <x:c r="S94" s="24"/>
      <x:c r="T94" s="24"/>
      <x:c r="U94" s="24"/>
      <x:c r="V94" s="24"/>
      <x:c r="W94" s="23" t="n">
        <x:v>7</x:v>
      </x:c>
      <x:c r="X94" s="23" t="n">
        <x:v>47</x:v>
      </x:c>
      <x:c r="Y94" s="25" t="n">
        <x:v>31.969491555250716</x:v>
      </x:c>
      <x:c r="Z94" s="23" t="str">
        <x:v>benchmark/preprocessing_training/dim_600/minmax/msms_neg/seed_41/cnn/neg_msms/original/metrics.json</x:v>
      </x:c>
    </x:row>
    <x:row r="95">
      <x:c r="A95" s="23" t="str">
        <x:v>minmax</x:v>
      </x:c>
      <x:c r="B95" s="23" t="str">
        <x:v>msms_neg</x:v>
      </x:c>
      <x:c r="C95" s="23" t="str">
        <x:v>mps</x:v>
      </x:c>
      <x:c r="D95" s="23" t="n">
        <x:v>41</x:v>
      </x:c>
      <x:c r="E95" s="23" t="n">
        <x:v>600</x:v>
      </x:c>
      <x:c r="F95" s="23"/>
      <x:c r="G95" s="23"/>
      <x:c r="H95" s="23"/>
      <x:c r="I95" s="24" t="n">
        <x:v>0.2929</x:v>
      </x:c>
      <x:c r="J95" s="24" t="n">
        <x:v>0.1726</x:v>
      </x:c>
      <x:c r="K95" s="24" t="n">
        <x:v>0.23275</x:v>
      </x:c>
      <x:c r="L95" s="24" t="n">
        <x:v>1.1921</x:v>
      </x:c>
      <x:c r="M95" s="24" t="n">
        <x:v>0.29241255206578265</x:v>
      </x:c>
      <x:c r="N95" s="24" t="n">
        <x:v>0.1728106693367127</x:v>
      </x:c>
      <x:c r="O95" s="24" t="n">
        <x:v>0.2326116107012477</x:v>
      </x:c>
      <x:c r="P95" s="24" t="n">
        <x:v>1.2082</x:v>
      </x:c>
      <x:c r="Q95" s="24" t="n">
        <x:v>0</x:v>
      </x:c>
      <x:c r="R95" s="24" t="n">
        <x:v>0.5666</x:v>
      </x:c>
      <x:c r="S95" s="24" t="n">
        <x:v>0.1874</x:v>
      </x:c>
      <x:c r="T95" s="24" t="n">
        <x:v>0.1485</x:v>
      </x:c>
      <x:c r="U95" s="24" t="n">
        <x:v>0.6652</x:v>
      </x:c>
      <x:c r="V95" s="24" t="n">
        <x:v>0.5902</x:v>
      </x:c>
      <x:c r="W95" s="23" t="n">
        <x:v>1</x:v>
      </x:c>
      <x:c r="X95" s="23" t="n">
        <x:v>21</x:v>
      </x:c>
      <x:c r="Y95" s="25" t="n">
        <x:v>14.1</x:v>
      </x:c>
      <x:c r="Z95" s="23" t="str">
        <x:v>benchmark/preprocessing_training/dim_600/minmax/msms_neg/seed_41/mps/results/metrics.json</x:v>
      </x:c>
    </x:row>
    <x:row r="96">
      <x:c r="A96" s="23" t="str">
        <x:v>minmax</x:v>
      </x:c>
      <x:c r="B96" s="23" t="str">
        <x:v>msms_neg</x:v>
      </x:c>
      <x:c r="C96" s="23" t="str">
        <x:v>ttn</x:v>
      </x:c>
      <x:c r="D96" s="23" t="n">
        <x:v>41</x:v>
      </x:c>
      <x:c r="E96" s="23" t="n">
        <x:v>600</x:v>
      </x:c>
      <x:c r="F96" s="23"/>
      <x:c r="G96" s="23"/>
      <x:c r="H96" s="23"/>
      <x:c r="I96" s="24" t="n">
        <x:v>0.6420120132367811</x:v>
      </x:c>
      <x:c r="J96" s="24" t="n">
        <x:v>0.15085182343650444</x:v>
      </x:c>
      <x:c r="K96" s="24" t="n">
        <x:v>0.3964319183366428</x:v>
      </x:c>
      <x:c r="L96" s="24" t="n">
        <x:v>0.406811</x:v>
      </x:c>
      <x:c r="M96" s="24" t="n">
        <x:v>0.6417935630826338</x:v>
      </x:c>
      <x:c r="N96" s="24" t="n">
        <x:v>0.14929081382358664</x:v>
      </x:c>
      <x:c r="O96" s="24" t="n">
        <x:v>0.39554218845311023</x:v>
      </x:c>
      <x:c r="P96" s="24" t="n">
        <x:v>0.407359</x:v>
      </x:c>
      <x:c r="Q96" s="24"/>
      <x:c r="R96" s="24"/>
      <x:c r="S96" s="24" t="n">
        <x:v>0.68831</x:v>
      </x:c>
      <x:c r="T96" s="24"/>
      <x:c r="U96" s="24" t="n">
        <x:v>0.601166</x:v>
      </x:c>
      <x:c r="V96" s="24"/>
      <x:c r="W96" s="23" t="n">
        <x:v>19</x:v>
      </x:c>
      <x:c r="X96" s="23" t="n">
        <x:v>87</x:v>
      </x:c>
      <x:c r="Y96" s="25" t="n">
        <x:v>25.020666666666667</x:v>
      </x:c>
      <x:c r="Z96" s="23" t="str">
        <x:v>benchmark/preprocessing_training/dim_600/minmax/msms_neg/seed_41/ttn/metrics.json</x:v>
      </x:c>
    </x:row>
    <x:row r="97">
      <x:c r="A97" s="23" t="str">
        <x:v>minmax</x:v>
      </x:c>
      <x:c r="B97" s="23" t="str">
        <x:v>msms_neg</x:v>
      </x:c>
      <x:c r="C97" s="23" t="str">
        <x:v>xgboost</x:v>
      </x:c>
      <x:c r="D97" s="23" t="n">
        <x:v>41</x:v>
      </x:c>
      <x:c r="E97" s="23" t="n">
        <x:v>600</x:v>
      </x:c>
      <x:c r="F97" s="23" t="n">
        <x:v>635496</x:v>
      </x:c>
      <x:c r="G97" s="23" t="n">
        <x:v>79450</x:v>
      </x:c>
      <x:c r="H97" s="23" t="n">
        <x:v>79457</x:v>
      </x:c>
      <x:c r="I97" s="24" t="n">
        <x:v>0.6224925109876468</x:v>
      </x:c>
      <x:c r="J97" s="24" t="n">
        <x:v>0.10788544788722251</x:v>
      </x:c>
      <x:c r="K97" s="24" t="n">
        <x:v>0.36518897943743467</x:v>
      </x:c>
      <x:c r="L97" s="24"/>
      <x:c r="M97" s="24" t="n">
        <x:v>0.6224836951349154</x:v>
      </x:c>
      <x:c r="N97" s="24" t="n">
        <x:v>0.10806084982397728</x:v>
      </x:c>
      <x:c r="O97" s="24" t="n">
        <x:v>0.3652722724794463</x:v>
      </x:c>
      <x:c r="P97" s="24"/>
      <x:c r="Q97" s="24"/>
      <x:c r="R97" s="24"/>
      <x:c r="S97" s="24"/>
      <x:c r="T97" s="24"/>
      <x:c r="U97" s="24"/>
      <x:c r="V97" s="24"/>
      <x:c r="W97" s="23"/>
      <x:c r="X97" s="23"/>
      <x:c r="Y97" s="25" t="n">
        <x:v>2.2948832358660485</x:v>
      </x:c>
      <x:c r="Z97" s="23" t="str">
        <x:v>benchmark/preprocessing_training/dim_600/minmax/msms_neg/seed_41/xgboost/neg_msms/original/metrics.json</x:v>
      </x:c>
    </x:row>
    <x:row r="98">
      <x:c r="A98" s="23" t="str">
        <x:v>minmax</x:v>
      </x:c>
      <x:c r="B98" s="23" t="str">
        <x:v>msms_pos</x:v>
      </x:c>
      <x:c r="C98" s="23" t="str">
        <x:v>cnn</x:v>
      </x:c>
      <x:c r="D98" s="23" t="n">
        <x:v>41</x:v>
      </x:c>
      <x:c r="E98" s="23" t="n">
        <x:v>600</x:v>
      </x:c>
      <x:c r="F98" s="23" t="n">
        <x:v>635496</x:v>
      </x:c>
      <x:c r="G98" s="23" t="n">
        <x:v>79450</x:v>
      </x:c>
      <x:c r="H98" s="23" t="n">
        <x:v>79457</x:v>
      </x:c>
      <x:c r="I98" s="24" t="n">
        <x:v>0.6325166323948245</x:v>
      </x:c>
      <x:c r="J98" s="24" t="n">
        <x:v>0.0989938329739696</x:v>
      </x:c>
      <x:c r="K98" s="24" t="n">
        <x:v>0.365755232684397</x:v>
      </x:c>
      <x:c r="L98" s="24" t="n">
        <x:v>0.20509909093379974</x:v>
      </x:c>
      <x:c r="M98" s="24" t="n">
        <x:v>0.6318036662608726</x:v>
      </x:c>
      <x:c r="N98" s="24" t="n">
        <x:v>0.09904935037569344</x:v>
      </x:c>
      <x:c r="O98" s="24" t="n">
        <x:v>0.365426508318283</x:v>
      </x:c>
      <x:c r="P98" s="24"/>
      <x:c r="Q98" s="24"/>
      <x:c r="R98" s="24"/>
      <x:c r="S98" s="24"/>
      <x:c r="T98" s="24"/>
      <x:c r="U98" s="24"/>
      <x:c r="V98" s="24"/>
      <x:c r="W98" s="23" t="n">
        <x:v>14</x:v>
      </x:c>
      <x:c r="X98" s="23" t="n">
        <x:v>30</x:v>
      </x:c>
      <x:c r="Y98" s="25" t="n">
        <x:v>21.22184513261503</x:v>
      </x:c>
      <x:c r="Z98" s="23" t="str">
        <x:v>benchmark/preprocessing_training/dim_600/minmax/msms_pos/seed_41/cnn/pos_msms/original/metrics.json</x:v>
      </x:c>
    </x:row>
    <x:row r="99">
      <x:c r="A99" s="23" t="str">
        <x:v>minmax</x:v>
      </x:c>
      <x:c r="B99" s="23" t="str">
        <x:v>msms_pos</x:v>
      </x:c>
      <x:c r="C99" s="23" t="str">
        <x:v>mps</x:v>
      </x:c>
      <x:c r="D99" s="23" t="n">
        <x:v>41</x:v>
      </x:c>
      <x:c r="E99" s="23" t="n">
        <x:v>600</x:v>
      </x:c>
      <x:c r="F99" s="23"/>
      <x:c r="G99" s="23"/>
      <x:c r="H99" s="23"/>
      <x:c r="I99" s="24" t="n">
        <x:v>0.2909</x:v>
      </x:c>
      <x:c r="J99" s="24" t="n">
        <x:v>0.1753</x:v>
      </x:c>
      <x:c r="K99" s="24" t="n">
        <x:v>0.2331</x:v>
      </x:c>
      <x:c r="L99" s="24" t="n">
        <x:v>1.4723</x:v>
      </x:c>
      <x:c r="M99" s="24" t="n">
        <x:v>0.2906149735243808</x:v>
      </x:c>
      <x:c r="N99" s="24" t="n">
        <x:v>0.17531387273714524</x:v>
      </x:c>
      <x:c r="O99" s="24" t="n">
        <x:v>0.23296442313076304</x:v>
      </x:c>
      <x:c r="P99" s="24" t="n">
        <x:v>1.2796</x:v>
      </x:c>
      <x:c r="Q99" s="24" t="n">
        <x:v>0</x:v>
      </x:c>
      <x:c r="R99" s="24" t="n">
        <x:v>0.5478</x:v>
      </x:c>
      <x:c r="S99" s="24" t="n">
        <x:v>0.1933</x:v>
      </x:c>
      <x:c r="T99" s="24" t="n">
        <x:v>0.1581</x:v>
      </x:c>
      <x:c r="U99" s="24" t="n">
        <x:v>0.5851</x:v>
      </x:c>
      <x:c r="V99" s="24" t="n">
        <x:v>0.5506</x:v>
      </x:c>
      <x:c r="W99" s="23" t="n">
        <x:v>19</x:v>
      </x:c>
      <x:c r="X99" s="23" t="n">
        <x:v>39</x:v>
      </x:c>
      <x:c r="Y99" s="25" t="n">
        <x:v>25.9</x:v>
      </x:c>
      <x:c r="Z99" s="23" t="str">
        <x:v>benchmark/preprocessing_training/dim_600/minmax/msms_pos/seed_41/mps/results/metrics.json</x:v>
      </x:c>
    </x:row>
    <x:row r="100">
      <x:c r="A100" s="23" t="str">
        <x:v>minmax</x:v>
      </x:c>
      <x:c r="B100" s="23" t="str">
        <x:v>msms_pos</x:v>
      </x:c>
      <x:c r="C100" s="23" t="str">
        <x:v>ttn</x:v>
      </x:c>
      <x:c r="D100" s="23" t="n">
        <x:v>41</x:v>
      </x:c>
      <x:c r="E100" s="23" t="n">
        <x:v>600</x:v>
      </x:c>
      <x:c r="F100" s="23"/>
      <x:c r="G100" s="23"/>
      <x:c r="H100" s="23"/>
      <x:c r="I100" s="24" t="n">
        <x:v>0.6484210160217023</x:v>
      </x:c>
      <x:c r="J100" s="24" t="n">
        <x:v>0.14450987332829285</x:v>
      </x:c>
      <x:c r="K100" s="24" t="n">
        <x:v>0.39646544467499756</x:v>
      </x:c>
      <x:c r="L100" s="24" t="n">
        <x:v>0.400129</x:v>
      </x:c>
      <x:c r="M100" s="24" t="n">
        <x:v>0.648002412531244</x:v>
      </x:c>
      <x:c r="N100" s="24" t="n">
        <x:v>0.14505743702834545</x:v>
      </x:c>
      <x:c r="O100" s="24" t="n">
        <x:v>0.39652992477979476</x:v>
      </x:c>
      <x:c r="P100" s="24" t="n">
        <x:v>0.40048</x:v>
      </x:c>
      <x:c r="Q100" s="24"/>
      <x:c r="R100" s="24"/>
      <x:c r="S100" s="24" t="n">
        <x:v>0.720663</x:v>
      </x:c>
      <x:c r="T100" s="24"/>
      <x:c r="U100" s="24" t="n">
        <x:v>0.588652</x:v>
      </x:c>
      <x:c r="V100" s="24"/>
      <x:c r="W100" s="23" t="n">
        <x:v>4</x:v>
      </x:c>
      <x:c r="X100" s="23" t="n">
        <x:v>51</x:v>
      </x:c>
      <x:c r="Y100" s="25" t="n">
        <x:v>15.643333333333334</x:v>
      </x:c>
      <x:c r="Z100" s="23" t="str">
        <x:v>benchmark/preprocessing_training/dim_600/minmax/msms_pos/seed_41/ttn/metrics.json</x:v>
      </x:c>
    </x:row>
    <x:row r="101">
      <x:c r="A101" s="23" t="str">
        <x:v>minmax</x:v>
      </x:c>
      <x:c r="B101" s="23" t="str">
        <x:v>msms_pos</x:v>
      </x:c>
      <x:c r="C101" s="23" t="str">
        <x:v>xgboost</x:v>
      </x:c>
      <x:c r="D101" s="23" t="n">
        <x:v>41</x:v>
      </x:c>
      <x:c r="E101" s="23" t="n">
        <x:v>600</x:v>
      </x:c>
      <x:c r="F101" s="23" t="n">
        <x:v>635496</x:v>
      </x:c>
      <x:c r="G101" s="23" t="n">
        <x:v>79450</x:v>
      </x:c>
      <x:c r="H101" s="23" t="n">
        <x:v>79457</x:v>
      </x:c>
      <x:c r="I101" s="24" t="n">
        <x:v>0.6313239913988121</x:v>
      </x:c>
      <x:c r="J101" s="24" t="n">
        <x:v>0.10188422349032843</x:v>
      </x:c>
      <x:c r="K101" s="24" t="n">
        <x:v>0.3666041074445703</x:v>
      </x:c>
      <x:c r="L101" s="24"/>
      <x:c r="M101" s="24" t="n">
        <x:v>0.6309363799283154</x:v>
      </x:c>
      <x:c r="N101" s="24" t="n">
        <x:v>0.1023526419100647</x:v>
      </x:c>
      <x:c r="O101" s="24" t="n">
        <x:v>0.36664451091919004</x:v>
      </x:c>
      <x:c r="P101" s="24"/>
      <x:c r="Q101" s="24"/>
      <x:c r="R101" s="24"/>
      <x:c r="S101" s="24"/>
      <x:c r="T101" s="24"/>
      <x:c r="U101" s="24"/>
      <x:c r="V101" s="24"/>
      <x:c r="W101" s="23"/>
      <x:c r="X101" s="23"/>
      <x:c r="Y101" s="25" t="n">
        <x:v>2.3824089809825333</x:v>
      </x:c>
      <x:c r="Z101" s="23" t="str">
        <x:v>benchmark/preprocessing_training/dim_600/minmax/msms_pos/seed_41/xgboost/pos_msms/original/metrics.json</x:v>
      </x:c>
    </x:row>
    <x:row r="102">
      <x:c r="A102" s="23" t="str">
        <x:v>none</x:v>
      </x:c>
      <x:c r="B102" s="23" t="str">
        <x:v>cnmr</x:v>
      </x:c>
      <x:c r="C102" s="23" t="str">
        <x:v>cnn</x:v>
      </x:c>
      <x:c r="D102" s="23" t="n">
        <x:v>41</x:v>
      </x:c>
      <x:c r="E102" s="23" t="n">
        <x:v>600</x:v>
      </x:c>
      <x:c r="F102" s="23" t="n">
        <x:v>635496</x:v>
      </x:c>
      <x:c r="G102" s="23" t="n">
        <x:v>79450</x:v>
      </x:c>
      <x:c r="H102" s="23" t="n">
        <x:v>79457</x:v>
      </x:c>
      <x:c r="I102" s="24" t="n">
        <x:v>0.5428028402334325</x:v>
      </x:c>
      <x:c r="J102" s="24" t="n">
        <x:v>0.06851201774619832</x:v>
      </x:c>
      <x:c r="K102" s="24" t="n">
        <x:v>0.3056574289898154</x:v>
      </x:c>
      <x:c r="L102" s="24" t="n">
        <x:v>0.822955846786499</x:v>
      </x:c>
      <x:c r="M102" s="24" t="n">
        <x:v>0.5421184119642201</x:v>
      </x:c>
      <x:c r="N102" s="24" t="n">
        <x:v>0.06842645408811579</x:v>
      </x:c>
      <x:c r="O102" s="24" t="n">
        <x:v>0.3052724330261679</x:v>
      </x:c>
      <x:c r="P102" s="24"/>
      <x:c r="Q102" s="24"/>
      <x:c r="R102" s="24"/>
      <x:c r="S102" s="24"/>
      <x:c r="T102" s="24"/>
      <x:c r="U102" s="24"/>
      <x:c r="V102" s="24"/>
      <x:c r="W102" s="23" t="n">
        <x:v>19</x:v>
      </x:c>
      <x:c r="X102" s="23" t="n">
        <x:v>42</x:v>
      </x:c>
      <x:c r="Y102" s="25" t="n">
        <x:v>32.22134382971562</x:v>
      </x:c>
      <x:c r="Z102" s="23" t="str">
        <x:v>benchmark/preprocessing_training/dim_600/none/cnmr/seed_41/cnn/cnmr/original/metrics.json</x:v>
      </x:c>
    </x:row>
    <x:row r="103">
      <x:c r="A103" s="23" t="str">
        <x:v>none</x:v>
      </x:c>
      <x:c r="B103" s="23" t="str">
        <x:v>cnmr</x:v>
      </x:c>
      <x:c r="C103" s="23" t="str">
        <x:v>mps</x:v>
      </x:c>
      <x:c r="D103" s="23" t="n">
        <x:v>41</x:v>
      </x:c>
      <x:c r="E103" s="23" t="n">
        <x:v>600</x:v>
      </x:c>
      <x:c r="F103" s="23"/>
      <x:c r="G103" s="23"/>
      <x:c r="H103" s="23"/>
      <x:c r="I103" s="24" t="n">
        <x:v>0.6439</x:v>
      </x:c>
      <x:c r="J103" s="24" t="n">
        <x:v>0.3324</x:v>
      </x:c>
      <x:c r="K103" s="24" t="n">
        <x:v>0.48815</x:v>
      </x:c>
      <x:c r="L103" s="24" t="n">
        <x:v>10.2306</x:v>
      </x:c>
      <x:c r="M103" s="24" t="n">
        <x:v>0.6447384561464996</x:v>
      </x:c>
      <x:c r="N103" s="24" t="n">
        <x:v>0.33372154313876207</x:v>
      </x:c>
      <x:c r="O103" s="24" t="n">
        <x:v>0.4892299996426308</x:v>
      </x:c>
      <x:c r="P103" s="24" t="n">
        <x:v>9.6153</x:v>
      </x:c>
      <x:c r="Q103" s="24" t="n">
        <x:v>0.0301</x:v>
      </x:c>
      <x:c r="R103" s="24" t="n">
        <x:v>0.6881</x:v>
      </x:c>
      <x:c r="S103" s="24" t="n">
        <x:v>0.5793</x:v>
      </x:c>
      <x:c r="T103" s="24" t="n">
        <x:v>0.3022</x:v>
      </x:c>
      <x:c r="U103" s="24" t="n">
        <x:v>0.7269</x:v>
      </x:c>
      <x:c r="V103" s="24" t="n">
        <x:v>0.3964</x:v>
      </x:c>
      <x:c r="W103" s="23" t="n">
        <x:v>181</x:v>
      </x:c>
      <x:c r="X103" s="23" t="n">
        <x:v>181</x:v>
      </x:c>
      <x:c r="Y103" s="25" t="n">
        <x:v>318</x:v>
      </x:c>
      <x:c r="Z103" s="23" t="str">
        <x:v>benchmark/preprocessing_training/dim_600/none/cnmr/seed_41/mps/results/metrics.json</x:v>
      </x:c>
    </x:row>
    <x:row r="104">
      <x:c r="A104" s="23" t="str">
        <x:v>none</x:v>
      </x:c>
      <x:c r="B104" s="23" t="str">
        <x:v>cnmr</x:v>
      </x:c>
      <x:c r="C104" s="23" t="str">
        <x:v>ttn</x:v>
      </x:c>
      <x:c r="D104" s="23" t="n">
        <x:v>41</x:v>
      </x:c>
      <x:c r="E104" s="23" t="n">
        <x:v>600</x:v>
      </x:c>
      <x:c r="F104" s="23"/>
      <x:c r="G104" s="23"/>
      <x:c r="H104" s="23"/>
      <x:c r="I104" s="24" t="n">
        <x:v>0.7122714609831918</x:v>
      </x:c>
      <x:c r="J104" s="24" t="n">
        <x:v>0.33445608440169944</x:v>
      </x:c>
      <x:c r="K104" s="24" t="n">
        <x:v>0.5233637726924456</x:v>
      </x:c>
      <x:c r="L104" s="24" t="n">
        <x:v>0.335513</x:v>
      </x:c>
      <x:c r="M104" s="24" t="n">
        <x:v>0.7136471931793569</x:v>
      </x:c>
      <x:c r="N104" s="24" t="n">
        <x:v>0.33191130191508444</x:v>
      </x:c>
      <x:c r="O104" s="24" t="n">
        <x:v>0.5227792475472206</x:v>
      </x:c>
      <x:c r="P104" s="24" t="n">
        <x:v>0.335029</x:v>
      </x:c>
      <x:c r="Q104" s="24"/>
      <x:c r="R104" s="24"/>
      <x:c r="S104" s="24" t="n">
        <x:v>0.711284</x:v>
      </x:c>
      <x:c r="T104" s="24"/>
      <x:c r="U104" s="24" t="n">
        <x:v>0.716026</x:v>
      </x:c>
      <x:c r="V104" s="24"/>
      <x:c r="W104" s="23" t="n">
        <x:v>47</x:v>
      </x:c>
      <x:c r="X104" s="23" t="n">
        <x:v>67</x:v>
      </x:c>
      <x:c r="Y104" s="25" t="n">
        <x:v>26.18316666666667</x:v>
      </x:c>
      <x:c r="Z104" s="23" t="str">
        <x:v>benchmark/preprocessing_training/dim_600/none/cnmr/seed_41/ttn/metrics.json</x:v>
      </x:c>
    </x:row>
    <x:row r="105">
      <x:c r="A105" s="23" t="str">
        <x:v>none</x:v>
      </x:c>
      <x:c r="B105" s="23" t="str">
        <x:v>cnmr</x:v>
      </x:c>
      <x:c r="C105" s="23" t="str">
        <x:v>xgboost</x:v>
      </x:c>
      <x:c r="D105" s="23" t="n">
        <x:v>41</x:v>
      </x:c>
      <x:c r="E105" s="23" t="n">
        <x:v>600</x:v>
      </x:c>
      <x:c r="F105" s="23" t="n">
        <x:v>635496</x:v>
      </x:c>
      <x:c r="G105" s="23" t="n">
        <x:v>79450</x:v>
      </x:c>
      <x:c r="H105" s="23" t="n">
        <x:v>79457</x:v>
      </x:c>
      <x:c r="I105" s="24" t="n">
        <x:v>0.7889971697837949</x:v>
      </x:c>
      <x:c r="J105" s="24" t="n">
        <x:v>0.4190274147048362</x:v>
      </x:c>
      <x:c r="K105" s="24" t="n">
        <x:v>0.6040122922443155</x:v>
      </x:c>
      <x:c r="L105" s="24"/>
      <x:c r="M105" s="24" t="n">
        <x:v>0.7890503138602921</x:v>
      </x:c>
      <x:c r="N105" s="24" t="n">
        <x:v>0.4131132255237764</x:v>
      </x:c>
      <x:c r="O105" s="24" t="n">
        <x:v>0.6010817696920343</x:v>
      </x:c>
      <x:c r="P105" s="24"/>
      <x:c r="Q105" s="24"/>
      <x:c r="R105" s="24"/>
      <x:c r="S105" s="24"/>
      <x:c r="T105" s="24"/>
      <x:c r="U105" s="24"/>
      <x:c r="V105" s="24"/>
      <x:c r="W105" s="23"/>
      <x:c r="X105" s="23"/>
      <x:c r="Y105" s="25" t="n">
        <x:v>3.986184904233475</x:v>
      </x:c>
      <x:c r="Z105" s="23" t="str">
        <x:v>benchmark/preprocessing_training/dim_600/none/cnmr/seed_41/xgboost/cnmr/original/metrics.json</x:v>
      </x:c>
    </x:row>
    <x:row r="106">
      <x:c r="A106" s="23" t="str">
        <x:v>none</x:v>
      </x:c>
      <x:c r="B106" s="23" t="str">
        <x:v>hnmr</x:v>
      </x:c>
      <x:c r="C106" s="23" t="str">
        <x:v>cnn</x:v>
      </x:c>
      <x:c r="D106" s="23" t="n">
        <x:v>41</x:v>
      </x:c>
      <x:c r="E106" s="23" t="n">
        <x:v>600</x:v>
      </x:c>
      <x:c r="F106" s="23" t="n">
        <x:v>635496</x:v>
      </x:c>
      <x:c r="G106" s="23" t="n">
        <x:v>79450</x:v>
      </x:c>
      <x:c r="H106" s="23" t="n">
        <x:v>79457</x:v>
      </x:c>
      <x:c r="I106" s="24" t="n">
        <x:v>0.6115272091200331</x:v>
      </x:c>
      <x:c r="J106" s="24" t="n">
        <x:v>0.09739197222085086</x:v>
      </x:c>
      <x:c r="K106" s="24" t="n">
        <x:v>0.35445959067044197</x:v>
      </x:c>
      <x:c r="L106" s="24" t="n">
        <x:v>3.047994375228882</x:v>
      </x:c>
      <x:c r="M106" s="24" t="n">
        <x:v>0.6115011056280198</x:v>
      </x:c>
      <x:c r="N106" s="24" t="n">
        <x:v>0.09732615859573808</x:v>
      </x:c>
      <x:c r="O106" s="24" t="n">
        <x:v>0.354413632111879</x:v>
      </x:c>
      <x:c r="P106" s="24"/>
      <x:c r="Q106" s="24"/>
      <x:c r="R106" s="24"/>
      <x:c r="S106" s="24"/>
      <x:c r="T106" s="24"/>
      <x:c r="U106" s="24"/>
      <x:c r="V106" s="24"/>
      <x:c r="W106" s="23" t="n">
        <x:v>11</x:v>
      </x:c>
      <x:c r="X106" s="23" t="n">
        <x:v>21</x:v>
      </x:c>
      <x:c r="Y106" s="25" t="n">
        <x:v>16.291108211533476</x:v>
      </x:c>
      <x:c r="Z106" s="23" t="str">
        <x:v>benchmark/preprocessing_training/dim_600/none/hnmr/seed_41/cnn/hnmr/original/metrics.json</x:v>
      </x:c>
    </x:row>
    <x:row r="107">
      <x:c r="A107" s="23" t="str">
        <x:v>none</x:v>
      </x:c>
      <x:c r="B107" s="23" t="str">
        <x:v>hnmr</x:v>
      </x:c>
      <x:c r="C107" s="23" t="str">
        <x:v>mps</x:v>
      </x:c>
      <x:c r="D107" s="23" t="n">
        <x:v>41</x:v>
      </x:c>
      <x:c r="E107" s="23" t="n">
        <x:v>600</x:v>
      </x:c>
      <x:c r="F107" s="23"/>
      <x:c r="G107" s="23"/>
      <x:c r="H107" s="23"/>
      <x:c r="I107" s="24" t="n">
        <x:v>0.6972</x:v>
      </x:c>
      <x:c r="J107" s="24" t="n">
        <x:v>0.3726</x:v>
      </x:c>
      <x:c r="K107" s="24" t="n">
        <x:v>0.5349</x:v>
      </x:c>
      <x:c r="L107" s="24" t="n">
        <x:v>9.9565</x:v>
      </x:c>
      <x:c r="M107" s="24" t="n">
        <x:v>0.6975058781320673</x:v>
      </x:c>
      <x:c r="N107" s="24" t="n">
        <x:v>0.36815217974348846</x:v>
      </x:c>
      <x:c r="O107" s="24" t="n">
        <x:v>0.532829028937778</x:v>
      </x:c>
      <x:c r="P107" s="24" t="n">
        <x:v>9.9855</x:v>
      </x:c>
      <x:c r="Q107" s="24" t="n">
        <x:v>0.0716</x:v>
      </x:c>
      <x:c r="R107" s="24" t="n">
        <x:v>0.7084</x:v>
      </x:c>
      <x:c r="S107" s="24" t="n">
        <x:v>0.6791</x:v>
      </x:c>
      <x:c r="T107" s="24" t="n">
        <x:v>0.3845</x:v>
      </x:c>
      <x:c r="U107" s="24" t="n">
        <x:v>0.7169</x:v>
      </x:c>
      <x:c r="V107" s="24" t="n">
        <x:v>0.3642</x:v>
      </x:c>
      <x:c r="W107" s="23" t="n">
        <x:v>157</x:v>
      </x:c>
      <x:c r="X107" s="23" t="n">
        <x:v>167</x:v>
      </x:c>
      <x:c r="Y107" s="25" t="n">
        <x:v>113.9</x:v>
      </x:c>
      <x:c r="Z107" s="23" t="str">
        <x:v>benchmark/preprocessing_training/dim_600/none/hnmr/seed_41/mps/results/metrics.json</x:v>
      </x:c>
    </x:row>
    <x:row r="108">
      <x:c r="A108" s="23" t="str">
        <x:v>none</x:v>
      </x:c>
      <x:c r="B108" s="23" t="str">
        <x:v>hnmr</x:v>
      </x:c>
      <x:c r="C108" s="23" t="str">
        <x:v>ttn</x:v>
      </x:c>
      <x:c r="D108" s="23" t="n">
        <x:v>41</x:v>
      </x:c>
      <x:c r="E108" s="23" t="n">
        <x:v>600</x:v>
      </x:c>
      <x:c r="F108" s="23"/>
      <x:c r="G108" s="23"/>
      <x:c r="H108" s="23"/>
      <x:c r="I108" s="24" t="n">
        <x:v>0.6845130558963628</x:v>
      </x:c>
      <x:c r="J108" s="24" t="n">
        <x:v>0.30257424770396785</x:v>
      </x:c>
      <x:c r="K108" s="24" t="n">
        <x:v>0.49354365180016535</x:v>
      </x:c>
      <x:c r="L108" s="24" t="n">
        <x:v>0.418627</x:v>
      </x:c>
      <x:c r="M108" s="24" t="n">
        <x:v>0.6858525519047189</x:v>
      </x:c>
      <x:c r="N108" s="24" t="n">
        <x:v>0.29643784119698174</x:v>
      </x:c>
      <x:c r="O108" s="24" t="n">
        <x:v>0.4911451965508503</x:v>
      </x:c>
      <x:c r="P108" s="24" t="n">
        <x:v>0.418912</x:v>
      </x:c>
      <x:c r="Q108" s="24"/>
      <x:c r="R108" s="24"/>
      <x:c r="S108" s="24" t="n">
        <x:v>0.690079</x:v>
      </x:c>
      <x:c r="T108" s="24"/>
      <x:c r="U108" s="24" t="n">
        <x:v>0.681677</x:v>
      </x:c>
      <x:c r="V108" s="24"/>
      <x:c r="W108" s="23" t="n">
        <x:v>65</x:v>
      </x:c>
      <x:c r="X108" s="23" t="n">
        <x:v>85</x:v>
      </x:c>
      <x:c r="Y108" s="25" t="n">
        <x:v>26.838666666666665</x:v>
      </x:c>
      <x:c r="Z108" s="23" t="str">
        <x:v>benchmark/preprocessing_training/dim_600/none/hnmr/seed_41/ttn/metrics.json</x:v>
      </x:c>
    </x:row>
    <x:row r="109">
      <x:c r="A109" s="23" t="str">
        <x:v>none</x:v>
      </x:c>
      <x:c r="B109" s="23" t="str">
        <x:v>hnmr</x:v>
      </x:c>
      <x:c r="C109" s="23" t="str">
        <x:v>xgboost</x:v>
      </x:c>
      <x:c r="D109" s="23" t="n">
        <x:v>41</x:v>
      </x:c>
      <x:c r="E109" s="23" t="n">
        <x:v>600</x:v>
      </x:c>
      <x:c r="F109" s="23" t="n">
        <x:v>635496</x:v>
      </x:c>
      <x:c r="G109" s="23" t="n">
        <x:v>79450</x:v>
      </x:c>
      <x:c r="H109" s="23" t="n">
        <x:v>79457</x:v>
      </x:c>
      <x:c r="I109" s="24" t="n">
        <x:v>0.7639894139433061</x:v>
      </x:c>
      <x:c r="J109" s="24" t="n">
        <x:v>0.3770895266490726</x:v>
      </x:c>
      <x:c r="K109" s="24" t="n">
        <x:v>0.5705394702961893</x:v>
      </x:c>
      <x:c r="L109" s="24"/>
      <x:c r="M109" s="24" t="n">
        <x:v>0.7645593016155915</x:v>
      </x:c>
      <x:c r="N109" s="24" t="n">
        <x:v>0.3677340614302773</x:v>
      </x:c>
      <x:c r="O109" s="24" t="n">
        <x:v>0.5661466815229343</x:v>
      </x:c>
      <x:c r="P109" s="24"/>
      <x:c r="Q109" s="24"/>
      <x:c r="R109" s="24"/>
      <x:c r="S109" s="24"/>
      <x:c r="T109" s="24"/>
      <x:c r="U109" s="24"/>
      <x:c r="V109" s="24"/>
      <x:c r="W109" s="23"/>
      <x:c r="X109" s="23"/>
      <x:c r="Y109" s="25" t="n">
        <x:v>4.027280925299662</x:v>
      </x:c>
      <x:c r="Z109" s="23" t="str">
        <x:v>benchmark/preprocessing_training/dim_600/none/hnmr/seed_41/xgboost/hnmr/original/metrics.json</x:v>
      </x:c>
    </x:row>
    <x:row r="110">
      <x:c r="A110" s="23" t="str">
        <x:v>none</x:v>
      </x:c>
      <x:c r="B110" s="23" t="str">
        <x:v>ir</x:v>
      </x:c>
      <x:c r="C110" s="23" t="str">
        <x:v>cnn</x:v>
      </x:c>
      <x:c r="D110" s="23" t="n">
        <x:v>41</x:v>
      </x:c>
      <x:c r="E110" s="23" t="n">
        <x:v>600</x:v>
      </x:c>
      <x:c r="F110" s="23" t="n">
        <x:v>635496</x:v>
      </x:c>
      <x:c r="G110" s="23" t="n">
        <x:v>79450</x:v>
      </x:c>
      <x:c r="H110" s="23" t="n">
        <x:v>79457</x:v>
      </x:c>
      <x:c r="I110" s="24" t="n">
        <x:v>0.886493792907196</x:v>
      </x:c>
      <x:c r="J110" s="24" t="n">
        <x:v>0.6529284298016526</x:v>
      </x:c>
      <x:c r="K110" s="24" t="n">
        <x:v>0.7697111113544243</x:v>
      </x:c>
      <x:c r="L110" s="24" t="n">
        <x:v>0.07801565527915955</x:v>
      </x:c>
      <x:c r="M110" s="24" t="n">
        <x:v>0.8871937706227736</x:v>
      </x:c>
      <x:c r="N110" s="24" t="n">
        <x:v>0.6582987599105201</x:v>
      </x:c>
      <x:c r="O110" s="24" t="n">
        <x:v>0.7727462652666468</x:v>
      </x:c>
      <x:c r="P110" s="24"/>
      <x:c r="Q110" s="24"/>
      <x:c r="R110" s="24"/>
      <x:c r="S110" s="24"/>
      <x:c r="T110" s="24"/>
      <x:c r="U110" s="24"/>
      <x:c r="V110" s="24"/>
      <x:c r="W110" s="23" t="n">
        <x:v>37</x:v>
      </x:c>
      <x:c r="X110" s="23" t="n">
        <x:v>41</x:v>
      </x:c>
      <x:c r="Y110" s="25" t="n">
        <x:v>39.871537267864916</x:v>
      </x:c>
      <x:c r="Z110" s="23" t="str">
        <x:v>benchmark/preprocessing_training/dim_600/none/ir/seed_41/cnn/ir/original/metrics.json</x:v>
      </x:c>
    </x:row>
    <x:row r="111">
      <x:c r="A111" s="23" t="str">
        <x:v>none</x:v>
      </x:c>
      <x:c r="B111" s="23" t="str">
        <x:v>ir</x:v>
      </x:c>
      <x:c r="C111" s="23" t="str">
        <x:v>mps</x:v>
      </x:c>
      <x:c r="D111" s="23" t="n">
        <x:v>41</x:v>
      </x:c>
      <x:c r="E111" s="23" t="n">
        <x:v>600</x:v>
      </x:c>
      <x:c r="F111" s="23"/>
      <x:c r="G111" s="23"/>
      <x:c r="H111" s="23"/>
      <x:c r="I111" s="24" t="n">
        <x:v>0.8441</x:v>
      </x:c>
      <x:c r="J111" s="24" t="n">
        <x:v>0.6766</x:v>
      </x:c>
      <x:c r="K111" s="24" t="n">
        <x:v>0.76035</x:v>
      </x:c>
      <x:c r="L111" s="24" t="n">
        <x:v>4.0797</x:v>
      </x:c>
      <x:c r="M111" s="24" t="n">
        <x:v>0.8442856715630701</x:v>
      </x:c>
      <x:c r="N111" s="24" t="n">
        <x:v>0.6676678283062227</x:v>
      </x:c>
      <x:c r="O111" s="24" t="n">
        <x:v>0.7559767499346464</x:v>
      </x:c>
      <x:c r="P111" s="24" t="n">
        <x:v>4.2027</x:v>
      </x:c>
      <x:c r="Q111" s="24" t="n">
        <x:v>0.2611</x:v>
      </x:c>
      <x:c r="R111" s="24" t="n">
        <x:v>0.8426</x:v>
      </x:c>
      <x:c r="S111" s="24" t="n">
        <x:v>0.8723</x:v>
      </x:c>
      <x:c r="T111" s="24" t="n">
        <x:v>0.7204</x:v>
      </x:c>
      <x:c r="U111" s="24" t="n">
        <x:v>0.818</x:v>
      </x:c>
      <x:c r="V111" s="24" t="n">
        <x:v>0.6339</x:v>
      </x:c>
      <x:c r="W111" s="23" t="n">
        <x:v>142</x:v>
      </x:c>
      <x:c r="X111" s="23" t="n">
        <x:v>152</x:v>
      </x:c>
      <x:c r="Y111" s="25" t="n">
        <x:v>107.7</x:v>
      </x:c>
      <x:c r="Z111" s="23" t="str">
        <x:v>benchmark/preprocessing_training/dim_600/none/ir/seed_41/mps/results/metrics.json</x:v>
      </x:c>
    </x:row>
    <x:row r="112">
      <x:c r="A112" s="23" t="str">
        <x:v>none</x:v>
      </x:c>
      <x:c r="B112" s="23" t="str">
        <x:v>ir</x:v>
      </x:c>
      <x:c r="C112" s="23" t="str">
        <x:v>ttn</x:v>
      </x:c>
      <x:c r="D112" s="23" t="n">
        <x:v>41</x:v>
      </x:c>
      <x:c r="E112" s="23" t="n">
        <x:v>600</x:v>
      </x:c>
      <x:c r="F112" s="23"/>
      <x:c r="G112" s="23"/>
      <x:c r="H112" s="23"/>
      <x:c r="I112" s="24" t="n">
        <x:v>0.8308819207615336</x:v>
      </x:c>
      <x:c r="J112" s="24" t="n">
        <x:v>0.5904043266447465</x:v>
      </x:c>
      <x:c r="K112" s="24" t="n">
        <x:v>0.7106431237031401</x:v>
      </x:c>
      <x:c r="L112" s="24" t="n">
        <x:v>0.186352</x:v>
      </x:c>
      <x:c r="M112" s="24" t="n">
        <x:v>0.8312392806517885</x:v>
      </x:c>
      <x:c r="N112" s="24" t="n">
        <x:v>0.5859737444912586</x:v>
      </x:c>
      <x:c r="O112" s="24" t="n">
        <x:v>0.7086065125715235</x:v>
      </x:c>
      <x:c r="P112" s="24" t="n">
        <x:v>0.187357</x:v>
      </x:c>
      <x:c r="Q112" s="24"/>
      <x:c r="R112" s="24"/>
      <x:c r="S112" s="24" t="n">
        <x:v>0.823858</x:v>
      </x:c>
      <x:c r="T112" s="24"/>
      <x:c r="U112" s="24" t="n">
        <x:v>0.838754</x:v>
      </x:c>
      <x:c r="V112" s="24"/>
      <x:c r="W112" s="23" t="n">
        <x:v>37</x:v>
      </x:c>
      <x:c r="X112" s="23" t="n">
        <x:v>57</x:v>
      </x:c>
      <x:c r="Y112" s="25" t="n">
        <x:v>19.011666666666667</x:v>
      </x:c>
      <x:c r="Z112" s="23" t="str">
        <x:v>benchmark/preprocessing_training/dim_600/none/ir/seed_41/ttn/metrics.json</x:v>
      </x:c>
    </x:row>
    <x:row r="113">
      <x:c r="A113" s="23" t="str">
        <x:v>none</x:v>
      </x:c>
      <x:c r="B113" s="23" t="str">
        <x:v>ir</x:v>
      </x:c>
      <x:c r="C113" s="23" t="str">
        <x:v>xgboost</x:v>
      </x:c>
      <x:c r="D113" s="23" t="n">
        <x:v>41</x:v>
      </x:c>
      <x:c r="E113" s="23" t="n">
        <x:v>600</x:v>
      </x:c>
      <x:c r="F113" s="23" t="n">
        <x:v>635496</x:v>
      </x:c>
      <x:c r="G113" s="23" t="n">
        <x:v>79450</x:v>
      </x:c>
      <x:c r="H113" s="23" t="n">
        <x:v>79457</x:v>
      </x:c>
      <x:c r="I113" s="24" t="n">
        <x:v>0.8343271537133762</x:v>
      </x:c>
      <x:c r="J113" s="24" t="n">
        <x:v>0.5442550889279698</x:v>
      </x:c>
      <x:c r="K113" s="24" t="n">
        <x:v>0.6892911213206729</x:v>
      </x:c>
      <x:c r="L113" s="24"/>
      <x:c r="M113" s="24" t="n">
        <x:v>0.8347789295536281</x:v>
      </x:c>
      <x:c r="N113" s="24" t="n">
        <x:v>0.5357303019039888</x:v>
      </x:c>
      <x:c r="O113" s="24" t="n">
        <x:v>0.6852546157288084</x:v>
      </x:c>
      <x:c r="P113" s="24"/>
      <x:c r="Q113" s="24"/>
      <x:c r="R113" s="24"/>
      <x:c r="S113" s="24"/>
      <x:c r="T113" s="24"/>
      <x:c r="U113" s="24"/>
      <x:c r="V113" s="24"/>
      <x:c r="W113" s="23"/>
      <x:c r="X113" s="23"/>
      <x:c r="Y113" s="25" t="n">
        <x:v>6.124494007400547</x:v>
      </x:c>
      <x:c r="Z113" s="23" t="str">
        <x:v>benchmark/preprocessing_training/dim_600/none/ir/seed_41/xgboost/ir/original/metrics.json</x:v>
      </x:c>
    </x:row>
    <x:row r="114">
      <x:c r="A114" s="23" t="str">
        <x:v>none</x:v>
      </x:c>
      <x:c r="B114" s="23" t="str">
        <x:v>msms_neg</x:v>
      </x:c>
      <x:c r="C114" s="23" t="str">
        <x:v>cnn</x:v>
      </x:c>
      <x:c r="D114" s="23" t="n">
        <x:v>41</x:v>
      </x:c>
      <x:c r="E114" s="23" t="n">
        <x:v>600</x:v>
      </x:c>
      <x:c r="F114" s="23" t="n">
        <x:v>635496</x:v>
      </x:c>
      <x:c r="G114" s="23" t="n">
        <x:v>79450</x:v>
      </x:c>
      <x:c r="H114" s="23" t="n">
        <x:v>79457</x:v>
      </x:c>
      <x:c r="I114" s="24" t="n">
        <x:v>0.6424353466952226</x:v>
      </x:c>
      <x:c r="J114" s="24" t="n">
        <x:v>0.11807858290178841</x:v>
      </x:c>
      <x:c r="K114" s="24" t="n">
        <x:v>0.3802569647985055</x:v>
      </x:c>
      <x:c r="L114" s="24" t="n">
        <x:v>0.20273128151893616</x:v>
      </x:c>
      <x:c r="M114" s="24" t="n">
        <x:v>0.6435286819114983</x:v>
      </x:c>
      <x:c r="N114" s="24" t="n">
        <x:v>0.11811651159149414</x:v>
      </x:c>
      <x:c r="O114" s="24" t="n">
        <x:v>0.3808225967514962</x:v>
      </x:c>
      <x:c r="P114" s="24"/>
      <x:c r="Q114" s="24"/>
      <x:c r="R114" s="24"/>
      <x:c r="S114" s="24"/>
      <x:c r="T114" s="24"/>
      <x:c r="U114" s="24"/>
      <x:c r="V114" s="24"/>
      <x:c r="W114" s="23" t="n">
        <x:v>19</x:v>
      </x:c>
      <x:c r="X114" s="23" t="n">
        <x:v>32</x:v>
      </x:c>
      <x:c r="Y114" s="25" t="n">
        <x:v>23.931404050649142</x:v>
      </x:c>
      <x:c r="Z114" s="23" t="str">
        <x:v>benchmark/preprocessing_training/dim_600/none/msms_neg/seed_41/cnn/neg_msms/original/metrics.json</x:v>
      </x:c>
    </x:row>
    <x:row r="115">
      <x:c r="A115" s="23" t="str">
        <x:v>none</x:v>
      </x:c>
      <x:c r="B115" s="23" t="str">
        <x:v>msms_neg</x:v>
      </x:c>
      <x:c r="C115" s="23" t="str">
        <x:v>mps</x:v>
      </x:c>
      <x:c r="D115" s="23" t="n">
        <x:v>41</x:v>
      </x:c>
      <x:c r="E115" s="23" t="n">
        <x:v>600</x:v>
      </x:c>
      <x:c r="F115" s="23"/>
      <x:c r="G115" s="23"/>
      <x:c r="H115" s="23"/>
      <x:c r="I115" s="24" t="n">
        <x:v>0.2801</x:v>
      </x:c>
      <x:c r="J115" s="24" t="n">
        <x:v>0.1696</x:v>
      </x:c>
      <x:c r="K115" s="24" t="n">
        <x:v>0.22485</x:v>
      </x:c>
      <x:c r="L115" s="24" t="n">
        <x:v>1.1889</x:v>
      </x:c>
      <x:c r="M115" s="24" t="n">
        <x:v>0.27950703655278825</x:v>
      </x:c>
      <x:c r="N115" s="24" t="n">
        <x:v>0.16972968333776348</x:v>
      </x:c>
      <x:c r="O115" s="24" t="n">
        <x:v>0.22461835994527585</x:v>
      </x:c>
      <x:c r="P115" s="24" t="n">
        <x:v>1.1998</x:v>
      </x:c>
      <x:c r="Q115" s="24" t="n">
        <x:v>0</x:v>
      </x:c>
      <x:c r="R115" s="24" t="n">
        <x:v>0.5428</x:v>
      </x:c>
      <x:c r="S115" s="24" t="n">
        <x:v>0.1822</x:v>
      </x:c>
      <x:c r="T115" s="24" t="n">
        <x:v>0.1508</x:v>
      </x:c>
      <x:c r="U115" s="24" t="n">
        <x:v>0.6003</x:v>
      </x:c>
      <x:c r="V115" s="24" t="n">
        <x:v>0.5599</x:v>
      </x:c>
      <x:c r="W115" s="23" t="n">
        <x:v>1</x:v>
      </x:c>
      <x:c r="X115" s="23" t="n">
        <x:v>21</x:v>
      </x:c>
      <x:c r="Y115" s="25" t="n">
        <x:v>16.2</x:v>
      </x:c>
      <x:c r="Z115" s="23" t="str">
        <x:v>benchmark/preprocessing_training/dim_600/none/msms_neg/seed_41/mps/results/metrics.json</x:v>
      </x:c>
    </x:row>
    <x:row r="116">
      <x:c r="A116" s="23" t="str">
        <x:v>none</x:v>
      </x:c>
      <x:c r="B116" s="23" t="str">
        <x:v>msms_neg</x:v>
      </x:c>
      <x:c r="C116" s="23" t="str">
        <x:v>ttn</x:v>
      </x:c>
      <x:c r="D116" s="23" t="n">
        <x:v>41</x:v>
      </x:c>
      <x:c r="E116" s="23" t="n">
        <x:v>600</x:v>
      </x:c>
      <x:c r="F116" s="23"/>
      <x:c r="G116" s="23"/>
      <x:c r="H116" s="23"/>
      <x:c r="I116" s="24" t="n">
        <x:v>0.6397769440031595</x:v>
      </x:c>
      <x:c r="J116" s="24" t="n">
        <x:v>0.15234019069419996</x:v>
      </x:c>
      <x:c r="K116" s="24" t="n">
        <x:v>0.3960585673486797</x:v>
      </x:c>
      <x:c r="L116" s="24" t="n">
        <x:v>0.400095</x:v>
      </x:c>
      <x:c r="M116" s="24" t="n">
        <x:v>0.6399637020385195</x:v>
      </x:c>
      <x:c r="N116" s="24" t="n">
        <x:v>0.15114538961642487</x:v>
      </x:c>
      <x:c r="O116" s="24" t="n">
        <x:v>0.3955545458274722</x:v>
      </x:c>
      <x:c r="P116" s="24" t="n">
        <x:v>0.401077</x:v>
      </x:c>
      <x:c r="Q116" s="24"/>
      <x:c r="R116" s="24"/>
      <x:c r="S116" s="24" t="n">
        <x:v>0.726003</x:v>
      </x:c>
      <x:c r="T116" s="24"/>
      <x:c r="U116" s="24" t="n">
        <x:v>0.572157</x:v>
      </x:c>
      <x:c r="V116" s="24"/>
      <x:c r="W116" s="23" t="n">
        <x:v>17</x:v>
      </x:c>
      <x:c r="X116" s="23" t="n">
        <x:v>57</x:v>
      </x:c>
      <x:c r="Y116" s="25" t="n">
        <x:v>19.9205</x:v>
      </x:c>
      <x:c r="Z116" s="23" t="str">
        <x:v>benchmark/preprocessing_training/dim_600/none/msms_neg/seed_41/ttn/metrics.json</x:v>
      </x:c>
    </x:row>
    <x:row r="117">
      <x:c r="A117" s="23" t="str">
        <x:v>none</x:v>
      </x:c>
      <x:c r="B117" s="23" t="str">
        <x:v>msms_neg</x:v>
      </x:c>
      <x:c r="C117" s="23" t="str">
        <x:v>xgboost</x:v>
      </x:c>
      <x:c r="D117" s="23" t="n">
        <x:v>41</x:v>
      </x:c>
      <x:c r="E117" s="23" t="n">
        <x:v>600</x:v>
      </x:c>
      <x:c r="F117" s="23" t="n">
        <x:v>635496</x:v>
      </x:c>
      <x:c r="G117" s="23" t="n">
        <x:v>79450</x:v>
      </x:c>
      <x:c r="H117" s="23" t="n">
        <x:v>79457</x:v>
      </x:c>
      <x:c r="I117" s="24" t="n">
        <x:v>0.626464060756116</x:v>
      </x:c>
      <x:c r="J117" s="24" t="n">
        <x:v>0.11095946725925443</x:v>
      </x:c>
      <x:c r="K117" s="24" t="n">
        <x:v>0.36871176400768524</x:v>
      </x:c>
      <x:c r="L117" s="24"/>
      <x:c r="M117" s="24" t="n">
        <x:v>0.6265014232031859</x:v>
      </x:c>
      <x:c r="N117" s="24" t="n">
        <x:v>0.11111037161357867</x:v>
      </x:c>
      <x:c r="O117" s="24" t="n">
        <x:v>0.3688058974083823</x:v>
      </x:c>
      <x:c r="P117" s="24"/>
      <x:c r="Q117" s="24"/>
      <x:c r="R117" s="24"/>
      <x:c r="S117" s="24"/>
      <x:c r="T117" s="24"/>
      <x:c r="U117" s="24"/>
      <x:c r="V117" s="24"/>
      <x:c r="W117" s="23"/>
      <x:c r="X117" s="23"/>
      <x:c r="Y117" s="25" t="n">
        <x:v>2.499847331784743</x:v>
      </x:c>
      <x:c r="Z117" s="23" t="str">
        <x:v>benchmark/preprocessing_training/dim_600/none/msms_neg/seed_41/xgboost/neg_msms/original/metrics.json</x:v>
      </x:c>
    </x:row>
    <x:row r="118">
      <x:c r="A118" s="23" t="str">
        <x:v>none</x:v>
      </x:c>
      <x:c r="B118" s="23" t="str">
        <x:v>msms_pos</x:v>
      </x:c>
      <x:c r="C118" s="23" t="str">
        <x:v>cnn</x:v>
      </x:c>
      <x:c r="D118" s="23" t="n">
        <x:v>41</x:v>
      </x:c>
      <x:c r="E118" s="23" t="n">
        <x:v>600</x:v>
      </x:c>
      <x:c r="F118" s="23" t="n">
        <x:v>635496</x:v>
      </x:c>
      <x:c r="G118" s="23" t="n">
        <x:v>79450</x:v>
      </x:c>
      <x:c r="H118" s="23" t="n">
        <x:v>79457</x:v>
      </x:c>
      <x:c r="I118" s="24" t="n">
        <x:v>0.6403171364778563</x:v>
      </x:c>
      <x:c r="J118" s="24" t="n">
        <x:v>0.10840884366220108</x:v>
      </x:c>
      <x:c r="K118" s="24" t="n">
        <x:v>0.37436299007002866</x:v>
      </x:c>
      <x:c r="L118" s="24" t="n">
        <x:v>0.20697714388370514</x:v>
      </x:c>
      <x:c r="M118" s="24" t="n">
        <x:v>0.6395512189527806</x:v>
      </x:c>
      <x:c r="N118" s="24" t="n">
        <x:v>0.1082490543292841</x:v>
      </x:c>
      <x:c r="O118" s="24" t="n">
        <x:v>0.37390013664103233</x:v>
      </x:c>
      <x:c r="P118" s="24"/>
      <x:c r="Q118" s="24"/>
      <x:c r="R118" s="24"/>
      <x:c r="S118" s="24"/>
      <x:c r="T118" s="24"/>
      <x:c r="U118" s="24"/>
      <x:c r="V118" s="24"/>
      <x:c r="W118" s="23" t="n">
        <x:v>30</x:v>
      </x:c>
      <x:c r="X118" s="23" t="n">
        <x:v>31</x:v>
      </x:c>
      <x:c r="Y118" s="25" t="n">
        <x:v>24.337167457165197</x:v>
      </x:c>
      <x:c r="Z118" s="23" t="str">
        <x:v>benchmark/preprocessing_training/dim_600/none/msms_pos/seed_41/cnn/pos_msms/original/metrics.json</x:v>
      </x:c>
    </x:row>
    <x:row r="119">
      <x:c r="A119" s="23" t="str">
        <x:v>none</x:v>
      </x:c>
      <x:c r="B119" s="23" t="str">
        <x:v>msms_pos</x:v>
      </x:c>
      <x:c r="C119" s="23" t="str">
        <x:v>mps</x:v>
      </x:c>
      <x:c r="D119" s="23" t="n">
        <x:v>41</x:v>
      </x:c>
      <x:c r="E119" s="23" t="n">
        <x:v>600</x:v>
      </x:c>
      <x:c r="F119" s="23"/>
      <x:c r="G119" s="23"/>
      <x:c r="H119" s="23"/>
      <x:c r="I119" s="24" t="n">
        <x:v>0.2867</x:v>
      </x:c>
      <x:c r="J119" s="24" t="n">
        <x:v>0.171</x:v>
      </x:c>
      <x:c r="K119" s="24" t="n">
        <x:v>0.22885</x:v>
      </x:c>
      <x:c r="L119" s="24" t="n">
        <x:v>1.1905</x:v>
      </x:c>
      <x:c r="M119" s="24" t="n">
        <x:v>0.2865462556021904</x:v>
      </x:c>
      <x:c r="N119" s="24" t="n">
        <x:v>0.1710906711574625</x:v>
      </x:c>
      <x:c r="O119" s="24" t="n">
        <x:v>0.22881846337982642</x:v>
      </x:c>
      <x:c r="P119" s="24" t="n">
        <x:v>1.1864</x:v>
      </x:c>
      <x:c r="Q119" s="24" t="n">
        <x:v>0</x:v>
      </x:c>
      <x:c r="R119" s="24" t="n">
        <x:v>0.5419</x:v>
      </x:c>
      <x:c r="S119" s="24" t="n">
        <x:v>0.1891</x:v>
      </x:c>
      <x:c r="T119" s="24" t="n">
        <x:v>0.1527</x:v>
      </x:c>
      <x:c r="U119" s="24" t="n">
        <x:v>0.5914</x:v>
      </x:c>
      <x:c r="V119" s="24" t="n">
        <x:v>0.5394</x:v>
      </x:c>
      <x:c r="W119" s="23" t="n">
        <x:v>1</x:v>
      </x:c>
      <x:c r="X119" s="23" t="n">
        <x:v>21</x:v>
      </x:c>
      <x:c r="Y119" s="25" t="n">
        <x:v>16.3</x:v>
      </x:c>
      <x:c r="Z119" s="23" t="str">
        <x:v>benchmark/preprocessing_training/dim_600/none/msms_pos/seed_41/mps/results/metrics.json</x:v>
      </x:c>
    </x:row>
    <x:row r="120">
      <x:c r="A120" s="23" t="str">
        <x:v>none</x:v>
      </x:c>
      <x:c r="B120" s="23" t="str">
        <x:v>msms_pos</x:v>
      </x:c>
      <x:c r="C120" s="23" t="str">
        <x:v>ttn</x:v>
      </x:c>
      <x:c r="D120" s="23" t="n">
        <x:v>41</x:v>
      </x:c>
      <x:c r="E120" s="23" t="n">
        <x:v>600</x:v>
      </x:c>
      <x:c r="F120" s="23"/>
      <x:c r="G120" s="23"/>
      <x:c r="H120" s="23"/>
      <x:c r="I120" s="24" t="n">
        <x:v>0.6474792277650444</x:v>
      </x:c>
      <x:c r="J120" s="24" t="n">
        <x:v>0.15173947129524168</x:v>
      </x:c>
      <x:c r="K120" s="24" t="n">
        <x:v>0.39960934953014304</x:v>
      </x:c>
      <x:c r="L120" s="24" t="n">
        <x:v>0.398528</x:v>
      </x:c>
      <x:c r="M120" s="24" t="n">
        <x:v>0.6471562817387402</x:v>
      </x:c>
      <x:c r="N120" s="24" t="n">
        <x:v>0.15219892387748107</x:v>
      </x:c>
      <x:c r="O120" s="24" t="n">
        <x:v>0.3996776028081106</x:v>
      </x:c>
      <x:c r="P120" s="24" t="n">
        <x:v>0.398879</x:v>
      </x:c>
      <x:c r="Q120" s="24"/>
      <x:c r="R120" s="24"/>
      <x:c r="S120" s="24" t="n">
        <x:v>0.724199</x:v>
      </x:c>
      <x:c r="T120" s="24"/>
      <x:c r="U120" s="24" t="n">
        <x:v>0.58493</x:v>
      </x:c>
      <x:c r="V120" s="24"/>
      <x:c r="W120" s="23" t="n">
        <x:v>4</x:v>
      </x:c>
      <x:c r="X120" s="23" t="n">
        <x:v>51</x:v>
      </x:c>
      <x:c r="Y120" s="25" t="n">
        <x:v>16.676666666666666</x:v>
      </x:c>
      <x:c r="Z120" s="23" t="str">
        <x:v>benchmark/preprocessing_training/dim_600/none/msms_pos/seed_41/ttn/metrics.json</x:v>
      </x:c>
    </x:row>
    <x:row r="121">
      <x:c r="A121" s="23" t="str">
        <x:v>none</x:v>
      </x:c>
      <x:c r="B121" s="23" t="str">
        <x:v>msms_pos</x:v>
      </x:c>
      <x:c r="C121" s="23" t="str">
        <x:v>xgboost</x:v>
      </x:c>
      <x:c r="D121" s="23" t="n">
        <x:v>41</x:v>
      </x:c>
      <x:c r="E121" s="23" t="n">
        <x:v>600</x:v>
      </x:c>
      <x:c r="F121" s="23" t="n">
        <x:v>635496</x:v>
      </x:c>
      <x:c r="G121" s="23" t="n">
        <x:v>79450</x:v>
      </x:c>
      <x:c r="H121" s="23" t="n">
        <x:v>79457</x:v>
      </x:c>
      <x:c r="I121" s="24" t="n">
        <x:v>0.635294643441452</x:v>
      </x:c>
      <x:c r="J121" s="24" t="n">
        <x:v>0.10420038631361997</x:v>
      </x:c>
      <x:c r="K121" s="24" t="n">
        <x:v>0.369747514877536</x:v>
      </x:c>
      <x:c r="L121" s="24"/>
      <x:c r="M121" s="24" t="n">
        <x:v>0.6342628921751166</x:v>
      </x:c>
      <x:c r="N121" s="24" t="n">
        <x:v>0.10474194264308831</x:v>
      </x:c>
      <x:c r="O121" s="24" t="n">
        <x:v>0.36950241740910245</x:v>
      </x:c>
      <x:c r="P121" s="24"/>
      <x:c r="Q121" s="24"/>
      <x:c r="R121" s="24"/>
      <x:c r="S121" s="24"/>
      <x:c r="T121" s="24"/>
      <x:c r="U121" s="24"/>
      <x:c r="V121" s="24"/>
      <x:c r="W121" s="23"/>
      <x:c r="X121" s="23"/>
      <x:c r="Y121" s="25" t="n">
        <x:v>2.5515991162663947</x:v>
      </x:c>
      <x:c r="Z121" s="23" t="str">
        <x:v>benchmark/preprocessing_training/dim_600/none/msms_pos/seed_41/xgboost/pos_msms/original/metrics.json</x:v>
      </x:c>
    </x:row>
    <x:row r="122">
      <x:c r="A122" s="23" t="str">
        <x:v>savgol</x:v>
      </x:c>
      <x:c r="B122" s="23" t="str">
        <x:v>cnmr</x:v>
      </x:c>
      <x:c r="C122" s="23" t="str">
        <x:v>cnn</x:v>
      </x:c>
      <x:c r="D122" s="23" t="n">
        <x:v>41</x:v>
      </x:c>
      <x:c r="E122" s="23" t="n">
        <x:v>600</x:v>
      </x:c>
      <x:c r="F122" s="23" t="n">
        <x:v>635496</x:v>
      </x:c>
      <x:c r="G122" s="23" t="n">
        <x:v>79450</x:v>
      </x:c>
      <x:c r="H122" s="23" t="n">
        <x:v>79457</x:v>
      </x:c>
      <x:c r="I122" s="24" t="n">
        <x:v>0.5033691660159045</x:v>
      </x:c>
      <x:c r="J122" s="24" t="n">
        <x:v>0.06775591832383498</x:v>
      </x:c>
      <x:c r="K122" s="24" t="n">
        <x:v>0.28556254216986976</x:v>
      </x:c>
      <x:c r="L122" s="24" t="n">
        <x:v>0.8184045553207397</x:v>
      </x:c>
      <x:c r="M122" s="24" t="n">
        <x:v>0.5038814013244026</x:v>
      </x:c>
      <x:c r="N122" s="24" t="n">
        <x:v>0.06792171755732943</x:v>
      </x:c>
      <x:c r="O122" s="24" t="n">
        <x:v>0.28590155944086604</x:v>
      </x:c>
      <x:c r="P122" s="24"/>
      <x:c r="Q122" s="24"/>
      <x:c r="R122" s="24"/>
      <x:c r="S122" s="24"/>
      <x:c r="T122" s="24"/>
      <x:c r="U122" s="24"/>
      <x:c r="V122" s="24"/>
      <x:c r="W122" s="23" t="n">
        <x:v>28</x:v>
      </x:c>
      <x:c r="X122" s="23" t="n">
        <x:v>55</x:v>
      </x:c>
      <x:c r="Y122" s="25" t="n">
        <x:v>38.521230006249</x:v>
      </x:c>
      <x:c r="Z122" s="23" t="str">
        <x:v>benchmark/preprocessing_training/dim_600/savgol/cnmr/seed_41/cnn/cnmr/original/metrics.json</x:v>
      </x:c>
    </x:row>
    <x:row r="123">
      <x:c r="A123" s="23" t="str">
        <x:v>savgol</x:v>
      </x:c>
      <x:c r="B123" s="23" t="str">
        <x:v>cnmr</x:v>
      </x:c>
      <x:c r="C123" s="23" t="str">
        <x:v>mps</x:v>
      </x:c>
      <x:c r="D123" s="23" t="n">
        <x:v>41</x:v>
      </x:c>
      <x:c r="E123" s="23" t="n">
        <x:v>600</x:v>
      </x:c>
      <x:c r="F123" s="23"/>
      <x:c r="G123" s="23"/>
      <x:c r="H123" s="23"/>
      <x:c r="I123" s="24" t="n">
        <x:v>0.5929</x:v>
      </x:c>
      <x:c r="J123" s="24" t="n">
        <x:v>0.2895</x:v>
      </x:c>
      <x:c r="K123" s="24" t="n">
        <x:v>0.4412</x:v>
      </x:c>
      <x:c r="L123" s="24" t="n">
        <x:v>8.2862</x:v>
      </x:c>
      <x:c r="M123" s="24" t="n">
        <x:v>0.5935108492614549</x:v>
      </x:c>
      <x:c r="N123" s="24" t="n">
        <x:v>0.28355768302849677</x:v>
      </x:c>
      <x:c r="O123" s="24" t="n">
        <x:v>0.4385342661449758</x:v>
      </x:c>
      <x:c r="P123" s="24" t="n">
        <x:v>8.5578</x:v>
      </x:c>
      <x:c r="Q123" s="24" t="n">
        <x:v>0.0096</x:v>
      </x:c>
      <x:c r="R123" s="24" t="n">
        <x:v>0.6793</x:v>
      </x:c>
      <x:c r="S123" s="24" t="n">
        <x:v>0.4924</x:v>
      </x:c>
      <x:c r="T123" s="24" t="n">
        <x:v>0.2367</x:v>
      </x:c>
      <x:c r="U123" s="24" t="n">
        <x:v>0.747</x:v>
      </x:c>
      <x:c r="V123" s="24" t="n">
        <x:v>0.4287</x:v>
      </x:c>
      <x:c r="W123" s="23" t="n">
        <x:v>184</x:v>
      </x:c>
      <x:c r="X123" s="23" t="n">
        <x:v>194</x:v>
      </x:c>
      <x:c r="Y123" s="25" t="n">
        <x:v>276.5</x:v>
      </x:c>
      <x:c r="Z123" s="23" t="str">
        <x:v>benchmark/preprocessing_training/dim_600/savgol/cnmr/seed_41/mps/results/metrics.json</x:v>
      </x:c>
    </x:row>
    <x:row r="124">
      <x:c r="A124" s="23" t="str">
        <x:v>savgol</x:v>
      </x:c>
      <x:c r="B124" s="23" t="str">
        <x:v>cnmr</x:v>
      </x:c>
      <x:c r="C124" s="23" t="str">
        <x:v>ttn</x:v>
      </x:c>
      <x:c r="D124" s="23" t="n">
        <x:v>41</x:v>
      </x:c>
      <x:c r="E124" s="23" t="n">
        <x:v>600</x:v>
      </x:c>
      <x:c r="F124" s="23"/>
      <x:c r="G124" s="23"/>
      <x:c r="H124" s="23"/>
      <x:c r="I124" s="24" t="n">
        <x:v>0.7138120151162668</x:v>
      </x:c>
      <x:c r="J124" s="24" t="n">
        <x:v>0.3277036024447379</x:v>
      </x:c>
      <x:c r="K124" s="24" t="n">
        <x:v>0.5207578087805024</x:v>
      </x:c>
      <x:c r="L124" s="24" t="n">
        <x:v>0.326009</x:v>
      </x:c>
      <x:c r="M124" s="24" t="n">
        <x:v>0.7148586664702331</x:v>
      </x:c>
      <x:c r="N124" s="24" t="n">
        <x:v>0.3255776672934717</x:v>
      </x:c>
      <x:c r="O124" s="24" t="n">
        <x:v>0.5202181668818524</x:v>
      </x:c>
      <x:c r="P124" s="24" t="n">
        <x:v>0.326772</x:v>
      </x:c>
      <x:c r="Q124" s="24"/>
      <x:c r="R124" s="24"/>
      <x:c r="S124" s="24" t="n">
        <x:v>0.713967</x:v>
      </x:c>
      <x:c r="T124" s="24"/>
      <x:c r="U124" s="24" t="n">
        <x:v>0.715752</x:v>
      </x:c>
      <x:c r="V124" s="24"/>
      <x:c r="W124" s="23" t="n">
        <x:v>36</x:v>
      </x:c>
      <x:c r="X124" s="23" t="n">
        <x:v>56</x:v>
      </x:c>
      <x:c r="Y124" s="25" t="n">
        <x:v>16.285666666666668</x:v>
      </x:c>
      <x:c r="Z124" s="23" t="str">
        <x:v>benchmark/preprocessing_training/dim_600/savgol/cnmr/seed_41/ttn/metrics.json</x:v>
      </x:c>
    </x:row>
    <x:row r="125">
      <x:c r="A125" s="23" t="str">
        <x:v>savgol</x:v>
      </x:c>
      <x:c r="B125" s="23" t="str">
        <x:v>cnmr</x:v>
      </x:c>
      <x:c r="C125" s="23" t="str">
        <x:v>xgboost</x:v>
      </x:c>
      <x:c r="D125" s="23" t="n">
        <x:v>41</x:v>
      </x:c>
      <x:c r="E125" s="23" t="n">
        <x:v>600</x:v>
      </x:c>
      <x:c r="F125" s="23" t="n">
        <x:v>635496</x:v>
      </x:c>
      <x:c r="G125" s="23" t="n">
        <x:v>79450</x:v>
      </x:c>
      <x:c r="H125" s="23" t="n">
        <x:v>79457</x:v>
      </x:c>
      <x:c r="I125" s="24" t="n">
        <x:v>0.7735515323175192</x:v>
      </x:c>
      <x:c r="J125" s="24" t="n">
        <x:v>0.3698484165091906</x:v>
      </x:c>
      <x:c r="K125" s="24" t="n">
        <x:v>0.5716999744133549</x:v>
      </x:c>
      <x:c r="L125" s="24"/>
      <x:c r="M125" s="24" t="n">
        <x:v>0.7737396396265167</x:v>
      </x:c>
      <x:c r="N125" s="24" t="n">
        <x:v>0.3635980909849974</x:v>
      </x:c>
      <x:c r="O125" s="24" t="n">
        <x:v>0.568668865305757</x:v>
      </x:c>
      <x:c r="P125" s="24"/>
      <x:c r="Q125" s="24"/>
      <x:c r="R125" s="24"/>
      <x:c r="S125" s="24"/>
      <x:c r="T125" s="24"/>
      <x:c r="U125" s="24"/>
      <x:c r="V125" s="24"/>
      <x:c r="W125" s="23"/>
      <x:c r="X125" s="23"/>
      <x:c r="Y125" s="25" t="n">
        <x:v>4.940749342231235</x:v>
      </x:c>
      <x:c r="Z125" s="23" t="str">
        <x:v>benchmark/preprocessing_training/dim_600/savgol/cnmr/seed_41/xgboost/cnmr/original/metrics.json</x:v>
      </x:c>
    </x:row>
    <x:row r="126">
      <x:c r="A126" s="23" t="str">
        <x:v>savgol</x:v>
      </x:c>
      <x:c r="B126" s="23" t="str">
        <x:v>hnmr</x:v>
      </x:c>
      <x:c r="C126" s="23" t="str">
        <x:v>cnn</x:v>
      </x:c>
      <x:c r="D126" s="23" t="n">
        <x:v>41</x:v>
      </x:c>
      <x:c r="E126" s="23" t="n">
        <x:v>600</x:v>
      </x:c>
      <x:c r="F126" s="23" t="n">
        <x:v>635496</x:v>
      </x:c>
      <x:c r="G126" s="23" t="n">
        <x:v>79450</x:v>
      </x:c>
      <x:c r="H126" s="23" t="n">
        <x:v>79457</x:v>
      </x:c>
      <x:c r="I126" s="24" t="n">
        <x:v>0.547266813926878</x:v>
      </x:c>
      <x:c r="J126" s="24" t="n">
        <x:v>0.10048824140138317</x:v>
      </x:c>
      <x:c r="K126" s="24" t="n">
        <x:v>0.3238775276641306</x:v>
      </x:c>
      <x:c r="L126" s="24" t="n">
        <x:v>0.5071355104446411</x:v>
      </x:c>
      <x:c r="M126" s="24" t="n">
        <x:v>0.5472609355595419</x:v>
      </x:c>
      <x:c r="N126" s="24" t="n">
        <x:v>0.10049795629135162</x:v>
      </x:c>
      <x:c r="O126" s="24" t="n">
        <x:v>0.32387944592544676</x:v>
      </x:c>
      <x:c r="P126" s="24"/>
      <x:c r="Q126" s="24"/>
      <x:c r="R126" s="24"/>
      <x:c r="S126" s="24"/>
      <x:c r="T126" s="24"/>
      <x:c r="U126" s="24"/>
      <x:c r="V126" s="24"/>
      <x:c r="W126" s="23" t="n">
        <x:v>79</x:v>
      </x:c>
      <x:c r="X126" s="23" t="n">
        <x:v>81</x:v>
      </x:c>
      <x:c r="Y126" s="25" t="n">
        <x:v>58.43318137136521</x:v>
      </x:c>
      <x:c r="Z126" s="23" t="str">
        <x:v>benchmark/preprocessing_training/dim_600/savgol/hnmr/seed_41/cnn/hnmr/original/metrics.json</x:v>
      </x:c>
    </x:row>
    <x:row r="127">
      <x:c r="A127" s="23" t="str">
        <x:v>savgol</x:v>
      </x:c>
      <x:c r="B127" s="23" t="str">
        <x:v>hnmr</x:v>
      </x:c>
      <x:c r="C127" s="23" t="str">
        <x:v>mps</x:v>
      </x:c>
      <x:c r="D127" s="23" t="n">
        <x:v>41</x:v>
      </x:c>
      <x:c r="E127" s="23" t="n">
        <x:v>600</x:v>
      </x:c>
      <x:c r="F127" s="23"/>
      <x:c r="G127" s="23"/>
      <x:c r="H127" s="23"/>
      <x:c r="I127" s="24" t="n">
        <x:v>0.6364</x:v>
      </x:c>
      <x:c r="J127" s="24" t="n">
        <x:v>0.3278</x:v>
      </x:c>
      <x:c r="K127" s="24" t="n">
        <x:v>0.4821</x:v>
      </x:c>
      <x:c r="L127" s="24" t="n">
        <x:v>7.8911</x:v>
      </x:c>
      <x:c r="M127" s="24" t="n">
        <x:v>0.6374887155774929</x:v>
      </x:c>
      <x:c r="N127" s="24" t="n">
        <x:v>0.3237737912058841</x:v>
      </x:c>
      <x:c r="O127" s="24" t="n">
        <x:v>0.4806312533916885</x:v>
      </x:c>
      <x:c r="P127" s="24" t="n">
        <x:v>8.0901</x:v>
      </x:c>
      <x:c r="Q127" s="24" t="n">
        <x:v>0.0249</x:v>
      </x:c>
      <x:c r="R127" s="24" t="n">
        <x:v>0.6885</x:v>
      </x:c>
      <x:c r="S127" s="24" t="n">
        <x:v>0.5646</x:v>
      </x:c>
      <x:c r="T127" s="24" t="n">
        <x:v>0.2894</x:v>
      </x:c>
      <x:c r="U127" s="24" t="n">
        <x:v>0.7319</x:v>
      </x:c>
      <x:c r="V127" s="24" t="n">
        <x:v>0.3966</x:v>
      </x:c>
      <x:c r="W127" s="23" t="n">
        <x:v>191</x:v>
      </x:c>
      <x:c r="X127" s="23" t="n">
        <x:v>198</x:v>
      </x:c>
      <x:c r="Y127" s="25" t="n">
        <x:v>132.4</x:v>
      </x:c>
      <x:c r="Z127" s="23" t="str">
        <x:v>benchmark/preprocessing_training/dim_600/savgol/hnmr/seed_41/mps/results/metrics.json</x:v>
      </x:c>
    </x:row>
    <x:row r="128">
      <x:c r="A128" s="23" t="str">
        <x:v>savgol</x:v>
      </x:c>
      <x:c r="B128" s="23" t="str">
        <x:v>hnmr</x:v>
      </x:c>
      <x:c r="C128" s="23" t="str">
        <x:v>ttn</x:v>
      </x:c>
      <x:c r="D128" s="23" t="n">
        <x:v>41</x:v>
      </x:c>
      <x:c r="E128" s="23" t="n">
        <x:v>600</x:v>
      </x:c>
      <x:c r="F128" s="23"/>
      <x:c r="G128" s="23"/>
      <x:c r="H128" s="23"/>
      <x:c r="I128" s="24" t="n">
        <x:v>0.6851104116261946</x:v>
      </x:c>
      <x:c r="J128" s="24" t="n">
        <x:v>0.28958818389994256</x:v>
      </x:c>
      <x:c r="K128" s="24" t="n">
        <x:v>0.48734929776306857</x:v>
      </x:c>
      <x:c r="L128" s="24" t="n">
        <x:v>0.346821</x:v>
      </x:c>
      <x:c r="M128" s="24" t="n">
        <x:v>0.6849876782339747</x:v>
      </x:c>
      <x:c r="N128" s="24" t="n">
        <x:v>0.2841675757887624</x:v>
      </x:c>
      <x:c r="O128" s="24" t="n">
        <x:v>0.48457762701136853</x:v>
      </x:c>
      <x:c r="P128" s="24" t="n">
        <x:v>0.348381</x:v>
      </x:c>
      <x:c r="Q128" s="24"/>
      <x:c r="R128" s="24"/>
      <x:c r="S128" s="24" t="n">
        <x:v>0.701938</x:v>
      </x:c>
      <x:c r="T128" s="24"/>
      <x:c r="U128" s="24" t="n">
        <x:v>0.668836</x:v>
      </x:c>
      <x:c r="V128" s="24"/>
      <x:c r="W128" s="23" t="n">
        <x:v>20</x:v>
      </x:c>
      <x:c r="X128" s="23" t="n">
        <x:v>99</x:v>
      </x:c>
      <x:c r="Y128" s="25" t="n">
        <x:v>28.967499999999998</x:v>
      </x:c>
      <x:c r="Z128" s="23" t="str">
        <x:v>benchmark/preprocessing_training/dim_600/savgol/hnmr/seed_41/ttn/metrics.json</x:v>
      </x:c>
    </x:row>
    <x:row r="129">
      <x:c r="A129" s="23" t="str">
        <x:v>savgol</x:v>
      </x:c>
      <x:c r="B129" s="23" t="str">
        <x:v>hnmr</x:v>
      </x:c>
      <x:c r="C129" s="23" t="str">
        <x:v>xgboost</x:v>
      </x:c>
      <x:c r="D129" s="23" t="n">
        <x:v>41</x:v>
      </x:c>
      <x:c r="E129" s="23" t="n">
        <x:v>600</x:v>
      </x:c>
      <x:c r="F129" s="23" t="n">
        <x:v>635496</x:v>
      </x:c>
      <x:c r="G129" s="23" t="n">
        <x:v>79450</x:v>
      </x:c>
      <x:c r="H129" s="23" t="n">
        <x:v>79457</x:v>
      </x:c>
      <x:c r="I129" s="24" t="n">
        <x:v>0.752629305431398</x:v>
      </x:c>
      <x:c r="J129" s="24" t="n">
        <x:v>0.33640600873264215</x:v>
      </x:c>
      <x:c r="K129" s="24" t="n">
        <x:v>0.54451765708202</x:v>
      </x:c>
      <x:c r="L129" s="24"/>
      <x:c r="M129" s="24" t="n">
        <x:v>0.7532712271546738</x:v>
      </x:c>
      <x:c r="N129" s="24" t="n">
        <x:v>0.3224304853271411</x:v>
      </x:c>
      <x:c r="O129" s="24" t="n">
        <x:v>0.5378508562409074</x:v>
      </x:c>
      <x:c r="P129" s="24"/>
      <x:c r="Q129" s="24"/>
      <x:c r="R129" s="24"/>
      <x:c r="S129" s="24"/>
      <x:c r="T129" s="24"/>
      <x:c r="U129" s="24"/>
      <x:c r="V129" s="24"/>
      <x:c r="W129" s="23"/>
      <x:c r="X129" s="23"/>
      <x:c r="Y129" s="25" t="n">
        <x:v>6.545042629617577</x:v>
      </x:c>
      <x:c r="Z129" s="23" t="str">
        <x:v>benchmark/preprocessing_training/dim_600/savgol/hnmr/seed_41/xgboost/hnmr/original/metrics.json</x:v>
      </x:c>
    </x:row>
    <x:row r="130">
      <x:c r="A130" s="23" t="str">
        <x:v>savgol</x:v>
      </x:c>
      <x:c r="B130" s="23" t="str">
        <x:v>ir</x:v>
      </x:c>
      <x:c r="C130" s="23" t="str">
        <x:v>cnn</x:v>
      </x:c>
      <x:c r="D130" s="23" t="n">
        <x:v>41</x:v>
      </x:c>
      <x:c r="E130" s="23" t="n">
        <x:v>600</x:v>
      </x:c>
      <x:c r="F130" s="23" t="n">
        <x:v>635496</x:v>
      </x:c>
      <x:c r="G130" s="23" t="n">
        <x:v>79450</x:v>
      </x:c>
      <x:c r="H130" s="23" t="n">
        <x:v>79457</x:v>
      </x:c>
      <x:c r="I130" s="24" t="n">
        <x:v>0.8827754269556523</x:v>
      </x:c>
      <x:c r="J130" s="24" t="n">
        <x:v>0.6542101811675917</x:v>
      </x:c>
      <x:c r="K130" s="24" t="n">
        <x:v>0.7684928040616219</x:v>
      </x:c>
      <x:c r="L130" s="24" t="n">
        <x:v>0.08438335359096527</x:v>
      </x:c>
      <x:c r="M130" s="24" t="n">
        <x:v>0.8816122841707801</x:v>
      </x:c>
      <x:c r="N130" s="24" t="n">
        <x:v>0.6616519268012881</x:v>
      </x:c>
      <x:c r="O130" s="24" t="n">
        <x:v>0.7716321054860341</x:v>
      </x:c>
      <x:c r="P130" s="24"/>
      <x:c r="Q130" s="24"/>
      <x:c r="R130" s="24"/>
      <x:c r="S130" s="24"/>
      <x:c r="T130" s="24"/>
      <x:c r="U130" s="24"/>
      <x:c r="V130" s="24"/>
      <x:c r="W130" s="23" t="n">
        <x:v>56</x:v>
      </x:c>
      <x:c r="X130" s="23" t="n">
        <x:v>56</x:v>
      </x:c>
      <x:c r="Y130" s="25" t="n">
        <x:v>41.968631426248855</x:v>
      </x:c>
      <x:c r="Z130" s="23" t="str">
        <x:v>benchmark/preprocessing_training/dim_600/savgol/ir/seed_41/cnn/ir/original/metrics.json</x:v>
      </x:c>
    </x:row>
    <x:row r="131">
      <x:c r="A131" s="23" t="str">
        <x:v>savgol</x:v>
      </x:c>
      <x:c r="B131" s="23" t="str">
        <x:v>ir</x:v>
      </x:c>
      <x:c r="C131" s="23" t="str">
        <x:v>mps</x:v>
      </x:c>
      <x:c r="D131" s="23" t="n">
        <x:v>41</x:v>
      </x:c>
      <x:c r="E131" s="23" t="n">
        <x:v>600</x:v>
      </x:c>
      <x:c r="F131" s="23"/>
      <x:c r="G131" s="23"/>
      <x:c r="H131" s="23"/>
      <x:c r="I131" s="24" t="n">
        <x:v>0.8358</x:v>
      </x:c>
      <x:c r="J131" s="24" t="n">
        <x:v>0.6774</x:v>
      </x:c>
      <x:c r="K131" s="24" t="n">
        <x:v>0.7565999999999999</x:v>
      </x:c>
      <x:c r="L131" s="24" t="n">
        <x:v>3.3881</x:v>
      </x:c>
      <x:c r="M131" s="24" t="n">
        <x:v>0.8360597539590146</x:v>
      </x:c>
      <x:c r="N131" s="24" t="n">
        <x:v>0.6753847495705807</x:v>
      </x:c>
      <x:c r="O131" s="24" t="n">
        <x:v>0.7557222517647977</x:v>
      </x:c>
      <x:c r="P131" s="24" t="n">
        <x:v>3.3866</x:v>
      </x:c>
      <x:c r="Q131" s="24" t="n">
        <x:v>0.2364</x:v>
      </x:c>
      <x:c r="R131" s="24" t="n">
        <x:v>0.8383</x:v>
      </x:c>
      <x:c r="S131" s="24" t="n">
        <x:v>0.8507</x:v>
      </x:c>
      <x:c r="T131" s="24" t="n">
        <x:v>0.6952</x:v>
      </x:c>
      <x:c r="U131" s="24" t="n">
        <x:v>0.822</x:v>
      </x:c>
      <x:c r="V131" s="24" t="n">
        <x:v>0.6667</x:v>
      </x:c>
      <x:c r="W131" s="23" t="n">
        <x:v>137</x:v>
      </x:c>
      <x:c r="X131" s="23" t="n">
        <x:v>147</x:v>
      </x:c>
      <x:c r="Y131" s="25" t="n">
        <x:v>98.3</x:v>
      </x:c>
      <x:c r="Z131" s="23" t="str">
        <x:v>benchmark/preprocessing_training/dim_600/savgol/ir/seed_41/mps/results/metrics.json</x:v>
      </x:c>
    </x:row>
    <x:row r="132">
      <x:c r="A132" s="23" t="str">
        <x:v>savgol</x:v>
      </x:c>
      <x:c r="B132" s="23" t="str">
        <x:v>ir</x:v>
      </x:c>
      <x:c r="C132" s="23" t="str">
        <x:v>ttn</x:v>
      </x:c>
      <x:c r="D132" s="23" t="n">
        <x:v>41</x:v>
      </x:c>
      <x:c r="E132" s="23" t="n">
        <x:v>600</x:v>
      </x:c>
      <x:c r="F132" s="23"/>
      <x:c r="G132" s="23"/>
      <x:c r="H132" s="23"/>
      <x:c r="I132" s="24" t="n">
        <x:v>0.8350813014512322</x:v>
      </x:c>
      <x:c r="J132" s="24" t="n">
        <x:v>0.6037091228931836</x:v>
      </x:c>
      <x:c r="K132" s="24" t="n">
        <x:v>0.7193952121722078</x:v>
      </x:c>
      <x:c r="L132" s="24" t="n">
        <x:v>0.185769</x:v>
      </x:c>
      <x:c r="M132" s="24" t="n">
        <x:v>0.8355351370725843</x:v>
      </x:c>
      <x:c r="N132" s="24" t="n">
        <x:v>0.6046675274801907</x:v>
      </x:c>
      <x:c r="O132" s="24" t="n">
        <x:v>0.7201013322763875</x:v>
      </x:c>
      <x:c r="P132" s="24" t="n">
        <x:v>0.185094</x:v>
      </x:c>
      <x:c r="Q132" s="24"/>
      <x:c r="R132" s="24"/>
      <x:c r="S132" s="24" t="n">
        <x:v>0.829917</x:v>
      </x:c>
      <x:c r="T132" s="24"/>
      <x:c r="U132" s="24" t="n">
        <x:v>0.84123</x:v>
      </x:c>
      <x:c r="V132" s="24"/>
      <x:c r="W132" s="23" t="n">
        <x:v>49</x:v>
      </x:c>
      <x:c r="X132" s="23" t="n">
        <x:v>69</x:v>
      </x:c>
      <x:c r="Y132" s="25" t="n">
        <x:v>20.315833333333334</x:v>
      </x:c>
      <x:c r="Z132" s="23" t="str">
        <x:v>benchmark/preprocessing_training/dim_600/savgol/ir/seed_41/ttn/metrics.json</x:v>
      </x:c>
    </x:row>
    <x:row r="133">
      <x:c r="A133" s="23" t="str">
        <x:v>savgol</x:v>
      </x:c>
      <x:c r="B133" s="23" t="str">
        <x:v>ir</x:v>
      </x:c>
      <x:c r="C133" s="23" t="str">
        <x:v>xgboost</x:v>
      </x:c>
      <x:c r="D133" s="23" t="n">
        <x:v>41</x:v>
      </x:c>
      <x:c r="E133" s="23" t="n">
        <x:v>600</x:v>
      </x:c>
      <x:c r="F133" s="23" t="n">
        <x:v>635496</x:v>
      </x:c>
      <x:c r="G133" s="23" t="n">
        <x:v>79450</x:v>
      </x:c>
      <x:c r="H133" s="23" t="n">
        <x:v>79457</x:v>
      </x:c>
      <x:c r="I133" s="24" t="n">
        <x:v>0.8341584955763367</x:v>
      </x:c>
      <x:c r="J133" s="24" t="n">
        <x:v>0.5597716880367894</x:v>
      </x:c>
      <x:c r="K133" s="24" t="n">
        <x:v>0.6969650918065631</x:v>
      </x:c>
      <x:c r="L133" s="24"/>
      <x:c r="M133" s="24" t="n">
        <x:v>0.8343068996874032</x:v>
      </x:c>
      <x:c r="N133" s="24" t="n">
        <x:v>0.5510875166435223</x:v>
      </x:c>
      <x:c r="O133" s="24" t="n">
        <x:v>0.6926972081654628</x:v>
      </x:c>
      <x:c r="P133" s="24"/>
      <x:c r="Q133" s="24"/>
      <x:c r="R133" s="24"/>
      <x:c r="S133" s="24"/>
      <x:c r="T133" s="24"/>
      <x:c r="U133" s="24"/>
      <x:c r="V133" s="24"/>
      <x:c r="W133" s="23"/>
      <x:c r="X133" s="23"/>
      <x:c r="Y133" s="25" t="n">
        <x:v>5.928680467415446</x:v>
      </x:c>
      <x:c r="Z133" s="23" t="str">
        <x:v>benchmark/preprocessing_training/dim_600/savgol/ir/seed_41/xgboost/ir/original/metrics.json</x:v>
      </x:c>
    </x:row>
    <x:row r="134">
      <x:c r="A134" s="23" t="str">
        <x:v>savgol</x:v>
      </x:c>
      <x:c r="B134" s="23" t="str">
        <x:v>msms_neg</x:v>
      </x:c>
      <x:c r="C134" s="23" t="str">
        <x:v>cnn</x:v>
      </x:c>
      <x:c r="D134" s="23" t="n">
        <x:v>41</x:v>
      </x:c>
      <x:c r="E134" s="23" t="n">
        <x:v>600</x:v>
      </x:c>
      <x:c r="F134" s="23" t="n">
        <x:v>635496</x:v>
      </x:c>
      <x:c r="G134" s="23" t="n">
        <x:v>79450</x:v>
      </x:c>
      <x:c r="H134" s="23" t="n">
        <x:v>79457</x:v>
      </x:c>
      <x:c r="I134" s="24" t="n">
        <x:v>0.6436446308926826</x:v>
      </x:c>
      <x:c r="J134" s="24" t="n">
        <x:v>0.11938908453205503</x:v>
      </x:c>
      <x:c r="K134" s="24" t="n">
        <x:v>0.3815168577123688</x:v>
      </x:c>
      <x:c r="L134" s="24" t="n">
        <x:v>0.19479674100875854</x:v>
      </x:c>
      <x:c r="M134" s="24" t="n">
        <x:v>0.6444335019472671</x:v>
      </x:c>
      <x:c r="N134" s="24" t="n">
        <x:v>0.11925041377718198</x:v>
      </x:c>
      <x:c r="O134" s="24" t="n">
        <x:v>0.3818419578622245</x:v>
      </x:c>
      <x:c r="P134" s="24"/>
      <x:c r="Q134" s="24"/>
      <x:c r="R134" s="24"/>
      <x:c r="S134" s="24"/>
      <x:c r="T134" s="24"/>
      <x:c r="U134" s="24"/>
      <x:c r="V134" s="24"/>
      <x:c r="W134" s="23" t="n">
        <x:v>16</x:v>
      </x:c>
      <x:c r="X134" s="23" t="n">
        <x:v>32</x:v>
      </x:c>
      <x:c r="Y134" s="25" t="n">
        <x:v>24.668056104735783</x:v>
      </x:c>
      <x:c r="Z134" s="23" t="str">
        <x:v>benchmark/preprocessing_training/dim_600/savgol/msms_neg/seed_41/cnn/neg_msms/original/metrics.json</x:v>
      </x:c>
    </x:row>
    <x:row r="135">
      <x:c r="A135" s="23" t="str">
        <x:v>savgol</x:v>
      </x:c>
      <x:c r="B135" s="23" t="str">
        <x:v>msms_neg</x:v>
      </x:c>
      <x:c r="C135" s="23" t="str">
        <x:v>mps</x:v>
      </x:c>
      <x:c r="D135" s="23" t="n">
        <x:v>41</x:v>
      </x:c>
      <x:c r="E135" s="23" t="n">
        <x:v>600</x:v>
      </x:c>
      <x:c r="F135" s="23"/>
      <x:c r="G135" s="23"/>
      <x:c r="H135" s="23"/>
      <x:c r="I135" s="24" t="n">
        <x:v>0.2792</x:v>
      </x:c>
      <x:c r="J135" s="24" t="n">
        <x:v>0.1723</x:v>
      </x:c>
      <x:c r="K135" s="24" t="n">
        <x:v>0.22575</x:v>
      </x:c>
      <x:c r="L135" s="24" t="n">
        <x:v>1.3417</x:v>
      </x:c>
      <x:c r="M135" s="24" t="n">
        <x:v>0.2779372102371874</x:v>
      </x:c>
      <x:c r="N135" s="24" t="n">
        <x:v>0.1718483776842782</x:v>
      </x:c>
      <x:c r="O135" s="24" t="n">
        <x:v>0.2248927939607328</x:v>
      </x:c>
      <x:c r="P135" s="24" t="n">
        <x:v>1.6919</x:v>
      </x:c>
      <x:c r="Q135" s="24" t="n">
        <x:v>0</x:v>
      </x:c>
      <x:c r="R135" s="24" t="n">
        <x:v>0.5322</x:v>
      </x:c>
      <x:c r="S135" s="24" t="n">
        <x:v>0.1844</x:v>
      </x:c>
      <x:c r="T135" s="24" t="n">
        <x:v>0.1565</x:v>
      </x:c>
      <x:c r="U135" s="24" t="n">
        <x:v>0.5637</x:v>
      </x:c>
      <x:c r="V135" s="24" t="n">
        <x:v>0.5578</x:v>
      </x:c>
      <x:c r="W135" s="23" t="n">
        <x:v>37</x:v>
      </x:c>
      <x:c r="X135" s="23" t="n">
        <x:v>57</x:v>
      </x:c>
      <x:c r="Y135" s="25" t="n">
        <x:v>39.6</x:v>
      </x:c>
      <x:c r="Z135" s="23" t="str">
        <x:v>benchmark/preprocessing_training/dim_600/savgol/msms_neg/seed_41/mps/results/metrics.json</x:v>
      </x:c>
    </x:row>
    <x:row r="136">
      <x:c r="A136" s="23" t="str">
        <x:v>savgol</x:v>
      </x:c>
      <x:c r="B136" s="23" t="str">
        <x:v>msms_neg</x:v>
      </x:c>
      <x:c r="C136" s="23" t="str">
        <x:v>ttn</x:v>
      </x:c>
      <x:c r="D136" s="23" t="n">
        <x:v>41</x:v>
      </x:c>
      <x:c r="E136" s="23" t="n">
        <x:v>600</x:v>
      </x:c>
      <x:c r="F136" s="23"/>
      <x:c r="G136" s="23"/>
      <x:c r="H136" s="23"/>
      <x:c r="I136" s="24" t="n">
        <x:v>0.6409822309243747</x:v>
      </x:c>
      <x:c r="J136" s="24" t="n">
        <x:v>0.15109139909892996</x:v>
      </x:c>
      <x:c r="K136" s="24" t="n">
        <x:v>0.39603681501165233</x:v>
      </x:c>
      <x:c r="L136" s="24" t="n">
        <x:v>0.400908</x:v>
      </x:c>
      <x:c r="M136" s="24" t="n">
        <x:v>0.6412587278757642</x:v>
      </x:c>
      <x:c r="N136" s="24" t="n">
        <x:v>0.14942940073305833</x:v>
      </x:c>
      <x:c r="O136" s="24" t="n">
        <x:v>0.39534406430441127</x:v>
      </x:c>
      <x:c r="P136" s="24" t="n">
        <x:v>0.402066</x:v>
      </x:c>
      <x:c r="Q136" s="24"/>
      <x:c r="R136" s="24"/>
      <x:c r="S136" s="24" t="n">
        <x:v>0.726843</x:v>
      </x:c>
      <x:c r="T136" s="24"/>
      <x:c r="U136" s="24" t="n">
        <x:v>0.573706</x:v>
      </x:c>
      <x:c r="V136" s="24"/>
      <x:c r="W136" s="23" t="n">
        <x:v>46</x:v>
      </x:c>
      <x:c r="X136" s="23" t="n">
        <x:v>66</x:v>
      </x:c>
      <x:c r="Y136" s="25" t="n">
        <x:v>19.362166666666667</x:v>
      </x:c>
      <x:c r="Z136" s="23" t="str">
        <x:v>benchmark/preprocessing_training/dim_600/savgol/msms_neg/seed_41/ttn/metrics.json</x:v>
      </x:c>
    </x:row>
    <x:row r="137">
      <x:c r="A137" s="23" t="str">
        <x:v>savgol</x:v>
      </x:c>
      <x:c r="B137" s="23" t="str">
        <x:v>msms_neg</x:v>
      </x:c>
      <x:c r="C137" s="23" t="str">
        <x:v>xgboost</x:v>
      </x:c>
      <x:c r="D137" s="23" t="n">
        <x:v>41</x:v>
      </x:c>
      <x:c r="E137" s="23" t="n">
        <x:v>600</x:v>
      </x:c>
      <x:c r="F137" s="23" t="n">
        <x:v>635496</x:v>
      </x:c>
      <x:c r="G137" s="23" t="n">
        <x:v>79450</x:v>
      </x:c>
      <x:c r="H137" s="23" t="n">
        <x:v>79457</x:v>
      </x:c>
      <x:c r="I137" s="24" t="n">
        <x:v>0.6448135954636723</x:v>
      </x:c>
      <x:c r="J137" s="24" t="n">
        <x:v>0.12067647439162925</x:v>
      </x:c>
      <x:c r="K137" s="24" t="n">
        <x:v>0.3827450349276508</x:v>
      </x:c>
      <x:c r="L137" s="24"/>
      <x:c r="M137" s="24" t="n">
        <x:v>0.6455288923017853</x:v>
      </x:c>
      <x:c r="N137" s="24" t="n">
        <x:v>0.12023849330414024</x:v>
      </x:c>
      <x:c r="O137" s="24" t="n">
        <x:v>0.3828836928029628</x:v>
      </x:c>
      <x:c r="P137" s="24"/>
      <x:c r="Q137" s="24"/>
      <x:c r="R137" s="24"/>
      <x:c r="S137" s="24"/>
      <x:c r="T137" s="24"/>
      <x:c r="U137" s="24"/>
      <x:c r="V137" s="24"/>
      <x:c r="W137" s="23"/>
      <x:c r="X137" s="23"/>
      <x:c r="Y137" s="25" t="n">
        <x:v>3.30639608768203</x:v>
      </x:c>
      <x:c r="Z137" s="23" t="str">
        <x:v>benchmark/preprocessing_training/dim_600/savgol/msms_neg/seed_41/xgboost/neg_msms/original/metrics.json</x:v>
      </x:c>
    </x:row>
    <x:row r="138">
      <x:c r="A138" s="23" t="str">
        <x:v>savgol</x:v>
      </x:c>
      <x:c r="B138" s="23" t="str">
        <x:v>msms_pos</x:v>
      </x:c>
      <x:c r="C138" s="23" t="str">
        <x:v>cnn</x:v>
      </x:c>
      <x:c r="D138" s="23" t="n">
        <x:v>41</x:v>
      </x:c>
      <x:c r="E138" s="23" t="n">
        <x:v>600</x:v>
      </x:c>
      <x:c r="F138" s="23" t="n">
        <x:v>635496</x:v>
      </x:c>
      <x:c r="G138" s="23" t="n">
        <x:v>79450</x:v>
      </x:c>
      <x:c r="H138" s="23" t="n">
        <x:v>79457</x:v>
      </x:c>
      <x:c r="I138" s="24" t="n">
        <x:v>0.6394353630946691</x:v>
      </x:c>
      <x:c r="J138" s="24" t="n">
        <x:v>0.11211244538110128</x:v>
      </x:c>
      <x:c r="K138" s="24" t="n">
        <x:v>0.3757739042378852</x:v>
      </x:c>
      <x:c r="L138" s="24" t="n">
        <x:v>0.1960149109363556</x:v>
      </x:c>
      <x:c r="M138" s="24" t="n">
        <x:v>0.6389326087268518</x:v>
      </x:c>
      <x:c r="N138" s="24" t="n">
        <x:v>0.11212997210367805</x:v>
      </x:c>
      <x:c r="O138" s="24" t="n">
        <x:v>0.3755312904152649</x:v>
      </x:c>
      <x:c r="P138" s="24"/>
      <x:c r="Q138" s="24"/>
      <x:c r="R138" s="24"/>
      <x:c r="S138" s="24"/>
      <x:c r="T138" s="24"/>
      <x:c r="U138" s="24"/>
      <x:c r="V138" s="24"/>
      <x:c r="W138" s="23" t="n">
        <x:v>17</x:v>
      </x:c>
      <x:c r="X138" s="23" t="n">
        <x:v>34</x:v>
      </x:c>
      <x:c r="Y138" s="25" t="n">
        <x:v>25.883563614601734</x:v>
      </x:c>
      <x:c r="Z138" s="23" t="str">
        <x:v>benchmark/preprocessing_training/dim_600/savgol/msms_pos/seed_41/cnn/pos_msms/original/metrics.json</x:v>
      </x:c>
    </x:row>
    <x:row r="139">
      <x:c r="A139" s="23" t="str">
        <x:v>savgol</x:v>
      </x:c>
      <x:c r="B139" s="23" t="str">
        <x:v>msms_pos</x:v>
      </x:c>
      <x:c r="C139" s="23" t="str">
        <x:v>mps</x:v>
      </x:c>
      <x:c r="D139" s="23" t="n">
        <x:v>41</x:v>
      </x:c>
      <x:c r="E139" s="23" t="n">
        <x:v>600</x:v>
      </x:c>
      <x:c r="F139" s="23"/>
      <x:c r="G139" s="23"/>
      <x:c r="H139" s="23"/>
      <x:c r="I139" s="24" t="n">
        <x:v>0.2984</x:v>
      </x:c>
      <x:c r="J139" s="24" t="n">
        <x:v>0.1744</x:v>
      </x:c>
      <x:c r="K139" s="24" t="n">
        <x:v>0.2364</x:v>
      </x:c>
      <x:c r="L139" s="24" t="n">
        <x:v>2.321</x:v>
      </x:c>
      <x:c r="M139" s="24" t="n">
        <x:v>0.29752169946850643</x:v>
      </x:c>
      <x:c r="N139" s="24" t="n">
        <x:v>0.17443385186378904</x:v>
      </x:c>
      <x:c r="O139" s="24" t="n">
        <x:v>0.23597777566614775</x:v>
      </x:c>
      <x:c r="P139" s="24" t="n">
        <x:v>1.8606</x:v>
      </x:c>
      <x:c r="Q139" s="24" t="n">
        <x:v>0</x:v>
      </x:c>
      <x:c r="R139" s="24" t="n">
        <x:v>0.54</x:v>
      </x:c>
      <x:c r="S139" s="24" t="n">
        <x:v>0.2008</x:v>
      </x:c>
      <x:c r="T139" s="24" t="n">
        <x:v>0.158</x:v>
      </x:c>
      <x:c r="U139" s="24" t="n">
        <x:v>0.5739</x:v>
      </x:c>
      <x:c r="V139" s="24" t="n">
        <x:v>0.5272</x:v>
      </x:c>
      <x:c r="W139" s="23" t="n">
        <x:v>126</x:v>
      </x:c>
      <x:c r="X139" s="23" t="n">
        <x:v>146</x:v>
      </x:c>
      <x:c r="Y139" s="25" t="n">
        <x:v>100.8</x:v>
      </x:c>
      <x:c r="Z139" s="23" t="str">
        <x:v>benchmark/preprocessing_training/dim_600/savgol/msms_pos/seed_41/mps/results/metrics.json</x:v>
      </x:c>
    </x:row>
    <x:row r="140">
      <x:c r="A140" s="23" t="str">
        <x:v>savgol</x:v>
      </x:c>
      <x:c r="B140" s="23" t="str">
        <x:v>msms_pos</x:v>
      </x:c>
      <x:c r="C140" s="23" t="str">
        <x:v>ttn</x:v>
      </x:c>
      <x:c r="D140" s="23" t="n">
        <x:v>41</x:v>
      </x:c>
      <x:c r="E140" s="23" t="n">
        <x:v>600</x:v>
      </x:c>
      <x:c r="F140" s="23"/>
      <x:c r="G140" s="23"/>
      <x:c r="H140" s="23"/>
      <x:c r="I140" s="24" t="n">
        <x:v>0.6521876289834609</x:v>
      </x:c>
      <x:c r="J140" s="24" t="n">
        <x:v>0.15003466081233666</x:v>
      </x:c>
      <x:c r="K140" s="24" t="n">
        <x:v>0.4011111448978988</x:v>
      </x:c>
      <x:c r="L140" s="24" t="n">
        <x:v>0.403211</x:v>
      </x:c>
      <x:c r="M140" s="24" t="n">
        <x:v>0.6519222721642088</x:v>
      </x:c>
      <x:c r="N140" s="24" t="n">
        <x:v>0.14959936267522567</x:v>
      </x:c>
      <x:c r="O140" s="24" t="n">
        <x:v>0.40076081741971725</x:v>
      </x:c>
      <x:c r="P140" s="24" t="n">
        <x:v>0.403877</x:v>
      </x:c>
      <x:c r="Q140" s="24"/>
      <x:c r="R140" s="24"/>
      <x:c r="S140" s="24" t="n">
        <x:v>0.690306</x:v>
      </x:c>
      <x:c r="T140" s="24"/>
      <x:c r="U140" s="24" t="n">
        <x:v>0.617582</x:v>
      </x:c>
      <x:c r="V140" s="24"/>
      <x:c r="W140" s="23" t="n">
        <x:v>10</x:v>
      </x:c>
      <x:c r="X140" s="23" t="n">
        <x:v>89</x:v>
      </x:c>
      <x:c r="Y140" s="25" t="n">
        <x:v>25.675666666666665</x:v>
      </x:c>
      <x:c r="Z140" s="23" t="str">
        <x:v>benchmark/preprocessing_training/dim_600/savgol/msms_pos/seed_41/ttn/metrics.json</x:v>
      </x:c>
    </x:row>
    <x:row r="141">
      <x:c r="A141" s="23" t="str">
        <x:v>savgol</x:v>
      </x:c>
      <x:c r="B141" s="23" t="str">
        <x:v>msms_pos</x:v>
      </x:c>
      <x:c r="C141" s="23" t="str">
        <x:v>xgboost</x:v>
      </x:c>
      <x:c r="D141" s="23" t="n">
        <x:v>41</x:v>
      </x:c>
      <x:c r="E141" s="23" t="n">
        <x:v>600</x:v>
      </x:c>
      <x:c r="F141" s="23" t="n">
        <x:v>635496</x:v>
      </x:c>
      <x:c r="G141" s="23" t="n">
        <x:v>79450</x:v>
      </x:c>
      <x:c r="H141" s="23" t="n">
        <x:v>79457</x:v>
      </x:c>
      <x:c r="I141" s="24" t="n">
        <x:v>0.6414998381071967</x:v>
      </x:c>
      <x:c r="J141" s="24" t="n">
        <x:v>0.10986656619838277</x:v>
      </x:c>
      <x:c r="K141" s="24" t="n">
        <x:v>0.3756832021527897</x:v>
      </x:c>
      <x:c r="L141" s="24"/>
      <x:c r="M141" s="24" t="n">
        <x:v>0.6406195892280276</x:v>
      </x:c>
      <x:c r="N141" s="24" t="n">
        <x:v>0.11054725271626462</x:v>
      </x:c>
      <x:c r="O141" s="24" t="n">
        <x:v>0.37558342097214614</x:v>
      </x:c>
      <x:c r="P141" s="24"/>
      <x:c r="Q141" s="24"/>
      <x:c r="R141" s="24"/>
      <x:c r="S141" s="24"/>
      <x:c r="T141" s="24"/>
      <x:c r="U141" s="24"/>
      <x:c r="V141" s="24"/>
      <x:c r="W141" s="23"/>
      <x:c r="X141" s="23"/>
      <x:c r="Y141" s="25" t="n">
        <x:v>3.212421182449907</x:v>
      </x:c>
      <x:c r="Z141" s="23" t="str">
        <x:v>benchmark/preprocessing_training/dim_600/savgol/msms_pos/seed_41/xgboost/pos_msms/original/metrics.json</x:v>
      </x:c>
    </x:row>
    <x:row r="142">
      <x:c r="A142" s="23" t="str">
        <x:v>snv</x:v>
      </x:c>
      <x:c r="B142" s="23" t="str">
        <x:v>cnmr</x:v>
      </x:c>
      <x:c r="C142" s="23" t="str">
        <x:v>cnn</x:v>
      </x:c>
      <x:c r="D142" s="23" t="n">
        <x:v>41</x:v>
      </x:c>
      <x:c r="E142" s="23" t="n">
        <x:v>600</x:v>
      </x:c>
      <x:c r="F142" s="23" t="n">
        <x:v>635496</x:v>
      </x:c>
      <x:c r="G142" s="23" t="n">
        <x:v>79450</x:v>
      </x:c>
      <x:c r="H142" s="23" t="n">
        <x:v>79457</x:v>
      </x:c>
      <x:c r="I142" s="24" t="n">
        <x:v>0.7804645868308285</x:v>
      </x:c>
      <x:c r="J142" s="24" t="n">
        <x:v>0.332562754324753</x:v>
      </x:c>
      <x:c r="K142" s="24" t="n">
        <x:v>0.5565136705777908</x:v>
      </x:c>
      <x:c r="L142" s="24" t="n">
        <x:v>0.13703040778636932</x:v>
      </x:c>
      <x:c r="M142" s="24" t="n">
        <x:v>0.7817700930723029</x:v>
      </x:c>
      <x:c r="N142" s="24" t="n">
        <x:v>0.3362112730423019</x:v>
      </x:c>
      <x:c r="O142" s="24" t="n">
        <x:v>0.5589906830573024</x:v>
      </x:c>
      <x:c r="P142" s="24"/>
      <x:c r="Q142" s="24"/>
      <x:c r="R142" s="24"/>
      <x:c r="S142" s="24"/>
      <x:c r="T142" s="24"/>
      <x:c r="U142" s="24"/>
      <x:c r="V142" s="24"/>
      <x:c r="W142" s="23" t="n">
        <x:v>33</x:v>
      </x:c>
      <x:c r="X142" s="23" t="n">
        <x:v>42</x:v>
      </x:c>
      <x:c r="Y142" s="25" t="n">
        <x:v>33.49108596495013</x:v>
      </x:c>
      <x:c r="Z142" s="23" t="str">
        <x:v>benchmark/preprocessing_training/dim_600/snv/cnmr/seed_41/cnn/cnmr/original/metrics.json</x:v>
      </x:c>
    </x:row>
    <x:row r="143">
      <x:c r="A143" s="23" t="str">
        <x:v>snv</x:v>
      </x:c>
      <x:c r="B143" s="23" t="str">
        <x:v>cnmr</x:v>
      </x:c>
      <x:c r="C143" s="23" t="str">
        <x:v>mps</x:v>
      </x:c>
      <x:c r="D143" s="23" t="n">
        <x:v>41</x:v>
      </x:c>
      <x:c r="E143" s="23" t="n">
        <x:v>600</x:v>
      </x:c>
      <x:c r="F143" s="23"/>
      <x:c r="G143" s="23"/>
      <x:c r="H143" s="23"/>
      <x:c r="I143" s="24" t="n">
        <x:v>0.7126</x:v>
      </x:c>
      <x:c r="J143" s="24" t="n">
        <x:v>0.3786</x:v>
      </x:c>
      <x:c r="K143" s="24" t="n">
        <x:v>0.5456</x:v>
      </x:c>
      <x:c r="L143" s="24" t="n">
        <x:v>10.721</x:v>
      </x:c>
      <x:c r="M143" s="24" t="n">
        <x:v>0.7132578660973895</x:v>
      </x:c>
      <x:c r="N143" s="24" t="n">
        <x:v>0.3697112197611493</x:v>
      </x:c>
      <x:c r="O143" s="24" t="n">
        <x:v>0.5414845429292694</x:v>
      </x:c>
      <x:c r="P143" s="24" t="n">
        <x:v>11.2629</x:v>
      </x:c>
      <x:c r="Q143" s="24" t="n">
        <x:v>0.0872</x:v>
      </x:c>
      <x:c r="R143" s="24" t="n">
        <x:v>0.7262</x:v>
      </x:c>
      <x:c r="S143" s="24" t="n">
        <x:v>0.6871</x:v>
      </x:c>
      <x:c r="T143" s="24" t="n">
        <x:v>0.3634</x:v>
      </x:c>
      <x:c r="U143" s="24" t="n">
        <x:v>0.7415</x:v>
      </x:c>
      <x:c r="V143" s="24" t="n">
        <x:v>0.3837</x:v>
      </x:c>
      <x:c r="W143" s="23" t="n">
        <x:v>173</x:v>
      </x:c>
      <x:c r="X143" s="23" t="n">
        <x:v>174</x:v>
      </x:c>
      <x:c r="Y143" s="25" t="n">
        <x:v>473.7</x:v>
      </x:c>
      <x:c r="Z143" s="23" t="str">
        <x:v>benchmark/preprocessing_training/dim_600/snv/cnmr/seed_41/mps/results/metrics.json</x:v>
      </x:c>
    </x:row>
    <x:row r="144">
      <x:c r="A144" s="23" t="str">
        <x:v>snv</x:v>
      </x:c>
      <x:c r="B144" s="23" t="str">
        <x:v>cnmr</x:v>
      </x:c>
      <x:c r="C144" s="23" t="str">
        <x:v>ttn</x:v>
      </x:c>
      <x:c r="D144" s="23" t="n">
        <x:v>41</x:v>
      </x:c>
      <x:c r="E144" s="23" t="n">
        <x:v>600</x:v>
      </x:c>
      <x:c r="F144" s="23"/>
      <x:c r="G144" s="23"/>
      <x:c r="H144" s="23"/>
      <x:c r="I144" s="24" t="n">
        <x:v>0.7144510880810018</x:v>
      </x:c>
      <x:c r="J144" s="24" t="n">
        <x:v>0.33662826394423995</x:v>
      </x:c>
      <x:c r="K144" s="24" t="n">
        <x:v>0.5255396760126209</x:v>
      </x:c>
      <x:c r="L144" s="24" t="n">
        <x:v>0.34027</x:v>
      </x:c>
      <x:c r="M144" s="24" t="n">
        <x:v>0.7135132446473613</x:v>
      </x:c>
      <x:c r="N144" s="24" t="n">
        <x:v>0.3280616378056144</x:v>
      </x:c>
      <x:c r="O144" s="24" t="n">
        <x:v>0.5207874412264879</x:v>
      </x:c>
      <x:c r="P144" s="24" t="n">
        <x:v>0.339741</x:v>
      </x:c>
      <x:c r="Q144" s="24"/>
      <x:c r="R144" s="24"/>
      <x:c r="S144" s="24" t="n">
        <x:v>0.709155</x:v>
      </x:c>
      <x:c r="T144" s="24"/>
      <x:c r="U144" s="24" t="n">
        <x:v>0.717925</x:v>
      </x:c>
      <x:c r="V144" s="24"/>
      <x:c r="W144" s="23" t="n">
        <x:v>49</x:v>
      </x:c>
      <x:c r="X144" s="23" t="n">
        <x:v>69</x:v>
      </x:c>
      <x:c r="Y144" s="25" t="n">
        <x:v>21.693499999999997</x:v>
      </x:c>
      <x:c r="Z144" s="23" t="str">
        <x:v>benchmark/preprocessing_training/dim_600/snv/cnmr/seed_41/ttn/metrics.json</x:v>
      </x:c>
    </x:row>
    <x:row r="145">
      <x:c r="A145" s="23" t="str">
        <x:v>snv</x:v>
      </x:c>
      <x:c r="B145" s="23" t="str">
        <x:v>cnmr</x:v>
      </x:c>
      <x:c r="C145" s="23" t="str">
        <x:v>xgboost</x:v>
      </x:c>
      <x:c r="D145" s="23" t="n">
        <x:v>41</x:v>
      </x:c>
      <x:c r="E145" s="23" t="n">
        <x:v>600</x:v>
      </x:c>
      <x:c r="F145" s="23" t="n">
        <x:v>635496</x:v>
      </x:c>
      <x:c r="G145" s="23" t="n">
        <x:v>79450</x:v>
      </x:c>
      <x:c r="H145" s="23" t="n">
        <x:v>79457</x:v>
      </x:c>
      <x:c r="I145" s="24" t="n">
        <x:v>0.7326955321634595</x:v>
      </x:c>
      <x:c r="J145" s="24" t="n">
        <x:v>0.2877780534190738</x:v>
      </x:c>
      <x:c r="K145" s="24" t="n">
        <x:v>0.5102367927912667</x:v>
      </x:c>
      <x:c r="L145" s="24"/>
      <x:c r="M145" s="24" t="n">
        <x:v>0.732119183248482</x:v>
      </x:c>
      <x:c r="N145" s="24" t="n">
        <x:v>0.2783907452011209</x:v>
      </x:c>
      <x:c r="O145" s="24" t="n">
        <x:v>0.5052549642248014</x:v>
      </x:c>
      <x:c r="P145" s="24"/>
      <x:c r="Q145" s="24"/>
      <x:c r="R145" s="24"/>
      <x:c r="S145" s="24"/>
      <x:c r="T145" s="24"/>
      <x:c r="U145" s="24"/>
      <x:c r="V145" s="24"/>
      <x:c r="W145" s="23"/>
      <x:c r="X145" s="23"/>
      <x:c r="Y145" s="25" t="n">
        <x:v>6.834663331599828</x:v>
      </x:c>
      <x:c r="Z145" s="23" t="str">
        <x:v>benchmark/preprocessing_training/dim_600/snv/cnmr/seed_41/xgboost/cnmr/original/metrics.json</x:v>
      </x:c>
    </x:row>
    <x:row r="146">
      <x:c r="A146" s="23" t="str">
        <x:v>snv</x:v>
      </x:c>
      <x:c r="B146" s="23" t="str">
        <x:v>hnmr</x:v>
      </x:c>
      <x:c r="C146" s="23" t="str">
        <x:v>cnn</x:v>
      </x:c>
      <x:c r="D146" s="23" t="n">
        <x:v>41</x:v>
      </x:c>
      <x:c r="E146" s="23" t="n">
        <x:v>600</x:v>
      </x:c>
      <x:c r="F146" s="23" t="n">
        <x:v>635496</x:v>
      </x:c>
      <x:c r="G146" s="23" t="n">
        <x:v>79450</x:v>
      </x:c>
      <x:c r="H146" s="23" t="n">
        <x:v>79457</x:v>
      </x:c>
      <x:c r="I146" s="24" t="n">
        <x:v>0.7770474177608566</x:v>
      </x:c>
      <x:c r="J146" s="24" t="n">
        <x:v>0.3337000320678964</x:v>
      </x:c>
      <x:c r="K146" s="24" t="n">
        <x:v>0.5553737249143765</x:v>
      </x:c>
      <x:c r="L146" s="24" t="n">
        <x:v>0.1340664029121399</x:v>
      </x:c>
      <x:c r="M146" s="24" t="n">
        <x:v>0.7774880326765723</x:v>
      </x:c>
      <x:c r="N146" s="24" t="n">
        <x:v>0.33451977596156407</x:v>
      </x:c>
      <x:c r="O146" s="24" t="n">
        <x:v>0.5560039043190682</x:v>
      </x:c>
      <x:c r="P146" s="24"/>
      <x:c r="Q146" s="24"/>
      <x:c r="R146" s="24"/>
      <x:c r="S146" s="24"/>
      <x:c r="T146" s="24"/>
      <x:c r="U146" s="24"/>
      <x:c r="V146" s="24"/>
      <x:c r="W146" s="23" t="n">
        <x:v>16</x:v>
      </x:c>
      <x:c r="X146" s="23" t="n">
        <x:v>36</x:v>
      </x:c>
      <x:c r="Y146" s="25" t="n">
        <x:v>28.55407169036674</x:v>
      </x:c>
      <x:c r="Z146" s="23" t="str">
        <x:v>benchmark/preprocessing_training/dim_600/snv/hnmr/seed_41/cnn/hnmr/original/metrics.json</x:v>
      </x:c>
    </x:row>
    <x:row r="147">
      <x:c r="A147" s="23" t="str">
        <x:v>snv</x:v>
      </x:c>
      <x:c r="B147" s="23" t="str">
        <x:v>hnmr</x:v>
      </x:c>
      <x:c r="C147" s="23" t="str">
        <x:v>mps</x:v>
      </x:c>
      <x:c r="D147" s="23" t="n">
        <x:v>41</x:v>
      </x:c>
      <x:c r="E147" s="23" t="n">
        <x:v>600</x:v>
      </x:c>
      <x:c r="F147" s="23"/>
      <x:c r="G147" s="23"/>
      <x:c r="H147" s="23"/>
      <x:c r="I147" s="24" t="n">
        <x:v>0.713</x:v>
      </x:c>
      <x:c r="J147" s="24" t="n">
        <x:v>0.383</x:v>
      </x:c>
      <x:c r="K147" s="24" t="n">
        <x:v>0.548</x:v>
      </x:c>
      <x:c r="L147" s="24" t="n">
        <x:v>10.8137</x:v>
      </x:c>
      <x:c r="M147" s="24" t="n">
        <x:v>0.712327041053386</x:v>
      </x:c>
      <x:c r="N147" s="24" t="n">
        <x:v>0.37973618729859676</x:v>
      </x:c>
      <x:c r="O147" s="24" t="n">
        <x:v>0.5460316141759913</x:v>
      </x:c>
      <x:c r="P147" s="24" t="n">
        <x:v>11.3762</x:v>
      </x:c>
      <x:c r="Q147" s="24" t="n">
        <x:v>0.0898</x:v>
      </x:c>
      <x:c r="R147" s="24" t="n">
        <x:v>0.7152</x:v>
      </x:c>
      <x:c r="S147" s="24" t="n">
        <x:v>0.7099</x:v>
      </x:c>
      <x:c r="T147" s="24" t="n">
        <x:v>0.4244</x:v>
      </x:c>
      <x:c r="U147" s="24" t="n">
        <x:v>0.7148</x:v>
      </x:c>
      <x:c r="V147" s="24" t="n">
        <x:v>0.3566</x:v>
      </x:c>
      <x:c r="W147" s="23" t="n">
        <x:v>173</x:v>
      </x:c>
      <x:c r="X147" s="23" t="n">
        <x:v>178</x:v>
      </x:c>
      <x:c r="Y147" s="25" t="n">
        <x:v>206.8</x:v>
      </x:c>
      <x:c r="Z147" s="23" t="str">
        <x:v>benchmark/preprocessing_training/dim_600/snv/hnmr/seed_41/mps/results/metrics.json</x:v>
      </x:c>
    </x:row>
    <x:row r="148">
      <x:c r="A148" s="23" t="str">
        <x:v>snv</x:v>
      </x:c>
      <x:c r="B148" s="23" t="str">
        <x:v>hnmr</x:v>
      </x:c>
      <x:c r="C148" s="23" t="str">
        <x:v>ttn</x:v>
      </x:c>
      <x:c r="D148" s="23" t="n">
        <x:v>41</x:v>
      </x:c>
      <x:c r="E148" s="23" t="n">
        <x:v>600</x:v>
      </x:c>
      <x:c r="F148" s="23"/>
      <x:c r="G148" s="23"/>
      <x:c r="H148" s="23"/>
      <x:c r="I148" s="24" t="n">
        <x:v>0.6955518959076463</x:v>
      </x:c>
      <x:c r="J148" s="24" t="n">
        <x:v>0.3019081697473338</x:v>
      </x:c>
      <x:c r="K148" s="24" t="n">
        <x:v>0.49873003282749007</x:v>
      </x:c>
      <x:c r="L148" s="24" t="n">
        <x:v>0.33836</x:v>
      </x:c>
      <x:c r="M148" s="24" t="n">
        <x:v>0.6960741655290196</x:v>
      </x:c>
      <x:c r="N148" s="24" t="n">
        <x:v>0.29769516133182367</x:v>
      </x:c>
      <x:c r="O148" s="24" t="n">
        <x:v>0.4968846634304216</x:v>
      </x:c>
      <x:c r="P148" s="24" t="n">
        <x:v>0.337639</x:v>
      </x:c>
      <x:c r="Q148" s="24"/>
      <x:c r="R148" s="24"/>
      <x:c r="S148" s="24" t="n">
        <x:v>0.719392</x:v>
      </x:c>
      <x:c r="T148" s="24"/>
      <x:c r="U148" s="24" t="n">
        <x:v>0.67422</x:v>
      </x:c>
      <x:c r="V148" s="24"/>
      <x:c r="W148" s="23" t="n">
        <x:v>18</x:v>
      </x:c>
      <x:c r="X148" s="23" t="n">
        <x:v>61</x:v>
      </x:c>
      <x:c r="Y148" s="25" t="n">
        <x:v>19.156333333333336</x:v>
      </x:c>
      <x:c r="Z148" s="23" t="str">
        <x:v>benchmark/preprocessing_training/dim_600/snv/hnmr/seed_41/ttn/metrics.json</x:v>
      </x:c>
    </x:row>
    <x:row r="149">
      <x:c r="A149" s="23" t="str">
        <x:v>snv</x:v>
      </x:c>
      <x:c r="B149" s="23" t="str">
        <x:v>hnmr</x:v>
      </x:c>
      <x:c r="C149" s="23" t="str">
        <x:v>xgboost</x:v>
      </x:c>
      <x:c r="D149" s="23" t="n">
        <x:v>41</x:v>
      </x:c>
      <x:c r="E149" s="23" t="n">
        <x:v>600</x:v>
      </x:c>
      <x:c r="F149" s="23" t="n">
        <x:v>635496</x:v>
      </x:c>
      <x:c r="G149" s="23" t="n">
        <x:v>79450</x:v>
      </x:c>
      <x:c r="H149" s="23" t="n">
        <x:v>79457</x:v>
      </x:c>
      <x:c r="I149" s="24" t="n">
        <x:v>0.7240968247547003</x:v>
      </x:c>
      <x:c r="J149" s="24" t="n">
        <x:v>0.29303203559824953</x:v>
      </x:c>
      <x:c r="K149" s="24" t="n">
        <x:v>0.5085644301764749</x:v>
      </x:c>
      <x:c r="L149" s="24"/>
      <x:c r="M149" s="24" t="n">
        <x:v>0.7249646002868876</x:v>
      </x:c>
      <x:c r="N149" s="24" t="n">
        <x:v>0.28077070892884676</x:v>
      </x:c>
      <x:c r="O149" s="24" t="n">
        <x:v>0.5028676546078672</x:v>
      </x:c>
      <x:c r="P149" s="24"/>
      <x:c r="Q149" s="24"/>
      <x:c r="R149" s="24"/>
      <x:c r="S149" s="24"/>
      <x:c r="T149" s="24"/>
      <x:c r="U149" s="24"/>
      <x:c r="V149" s="24"/>
      <x:c r="W149" s="23"/>
      <x:c r="X149" s="23"/>
      <x:c r="Y149" s="25" t="n">
        <x:v>7.243941816616765</x:v>
      </x:c>
      <x:c r="Z149" s="23" t="str">
        <x:v>benchmark/preprocessing_training/dim_600/snv/hnmr/seed_41/xgboost/hnmr/original/metrics.json</x:v>
      </x:c>
    </x:row>
    <x:row r="150">
      <x:c r="A150" s="23" t="str">
        <x:v>snv</x:v>
      </x:c>
      <x:c r="B150" s="23" t="str">
        <x:v>ir</x:v>
      </x:c>
      <x:c r="C150" s="23" t="str">
        <x:v>cnn</x:v>
      </x:c>
      <x:c r="D150" s="23" t="n">
        <x:v>41</x:v>
      </x:c>
      <x:c r="E150" s="23" t="n">
        <x:v>600</x:v>
      </x:c>
      <x:c r="F150" s="23" t="n">
        <x:v>635496</x:v>
      </x:c>
      <x:c r="G150" s="23" t="n">
        <x:v>79450</x:v>
      </x:c>
      <x:c r="H150" s="23" t="n">
        <x:v>79457</x:v>
      </x:c>
      <x:c r="I150" s="24" t="n">
        <x:v>0.8945319301758663</x:v>
      </x:c>
      <x:c r="J150" s="24" t="n">
        <x:v>0.6804990793510706</x:v>
      </x:c>
      <x:c r="K150" s="24" t="n">
        <x:v>0.7875155047634684</x:v>
      </x:c>
      <x:c r="L150" s="24" t="n">
        <x:v>0.07117290794849396</x:v>
      </x:c>
      <x:c r="M150" s="24" t="n">
        <x:v>0.8952178573955063</x:v>
      </x:c>
      <x:c r="N150" s="24" t="n">
        <x:v>0.6896173987359056</x:v>
      </x:c>
      <x:c r="O150" s="24" t="n">
        <x:v>0.7924176280657059</x:v>
      </x:c>
      <x:c r="P150" s="24"/>
      <x:c r="Q150" s="24"/>
      <x:c r="R150" s="24"/>
      <x:c r="S150" s="24"/>
      <x:c r="T150" s="24"/>
      <x:c r="U150" s="24"/>
      <x:c r="V150" s="24"/>
      <x:c r="W150" s="23" t="n">
        <x:v>43</x:v>
      </x:c>
      <x:c r="X150" s="23" t="n">
        <x:v>52</x:v>
      </x:c>
      <x:c r="Y150" s="25" t="n">
        <x:v>40.44190797543318</x:v>
      </x:c>
      <x:c r="Z150" s="23" t="str">
        <x:v>benchmark/preprocessing_training/dim_600/snv/ir/seed_41/cnn/ir/original/metrics.json</x:v>
      </x:c>
    </x:row>
    <x:row r="151">
      <x:c r="A151" s="23" t="str">
        <x:v>snv</x:v>
      </x:c>
      <x:c r="B151" s="23" t="str">
        <x:v>ir</x:v>
      </x:c>
      <x:c r="C151" s="23" t="str">
        <x:v>mps</x:v>
      </x:c>
      <x:c r="D151" s="23" t="n">
        <x:v>41</x:v>
      </x:c>
      <x:c r="E151" s="23" t="n">
        <x:v>600</x:v>
      </x:c>
      <x:c r="F151" s="23"/>
      <x:c r="G151" s="23"/>
      <x:c r="H151" s="23"/>
      <x:c r="I151" s="24" t="n">
        <x:v>0.8392</x:v>
      </x:c>
      <x:c r="J151" s="24" t="n">
        <x:v>0.6692</x:v>
      </x:c>
      <x:c r="K151" s="24" t="n">
        <x:v>0.7542</x:v>
      </x:c>
      <x:c r="L151" s="24" t="n">
        <x:v>4.3722</x:v>
      </x:c>
      <x:c r="M151" s="24" t="n">
        <x:v>0.8387052838746144</x:v>
      </x:c>
      <x:c r="N151" s="24" t="n">
        <x:v>0.6636656204984565</x:v>
      </x:c>
      <x:c r="O151" s="24" t="n">
        <x:v>0.7511854521865354</x:v>
      </x:c>
      <x:c r="P151" s="24" t="n">
        <x:v>4.0395</x:v>
      </x:c>
      <x:c r="Q151" s="24" t="n">
        <x:v>0.2476</x:v>
      </x:c>
      <x:c r="R151" s="24" t="n">
        <x:v>0.8373</x:v>
      </x:c>
      <x:c r="S151" s="24" t="n">
        <x:v>0.8683</x:v>
      </x:c>
      <x:c r="T151" s="24" t="n">
        <x:v>0.7284</x:v>
      </x:c>
      <x:c r="U151" s="24" t="n">
        <x:v>0.811</x:v>
      </x:c>
      <x:c r="V151" s="24" t="n">
        <x:v>0.6272</x:v>
      </x:c>
      <x:c r="W151" s="23" t="n">
        <x:v>139</x:v>
      </x:c>
      <x:c r="X151" s="23" t="n">
        <x:v>140</x:v>
      </x:c>
      <x:c r="Y151" s="25" t="n">
        <x:v>162.3</x:v>
      </x:c>
      <x:c r="Z151" s="23" t="str">
        <x:v>benchmark/preprocessing_training/dim_600/snv/ir/seed_41/mps/results/metrics.json</x:v>
      </x:c>
    </x:row>
    <x:row r="152">
      <x:c r="A152" s="23" t="str">
        <x:v>snv</x:v>
      </x:c>
      <x:c r="B152" s="23" t="str">
        <x:v>ir</x:v>
      </x:c>
      <x:c r="C152" s="23" t="str">
        <x:v>ttn</x:v>
      </x:c>
      <x:c r="D152" s="23" t="n">
        <x:v>41</x:v>
      </x:c>
      <x:c r="E152" s="23" t="n">
        <x:v>600</x:v>
      </x:c>
      <x:c r="F152" s="23"/>
      <x:c r="G152" s="23"/>
      <x:c r="H152" s="23"/>
      <x:c r="I152" s="24" t="n">
        <x:v>0.8283279791350506</x:v>
      </x:c>
      <x:c r="J152" s="24" t="n">
        <x:v>0.592494545781764</x:v>
      </x:c>
      <x:c r="K152" s="24" t="n">
        <x:v>0.7104112624584074</x:v>
      </x:c>
      <x:c r="L152" s="24" t="n">
        <x:v>0.192397</x:v>
      </x:c>
      <x:c r="M152" s="24" t="n">
        <x:v>0.8285503351120149</x:v>
      </x:c>
      <x:c r="N152" s="24" t="n">
        <x:v>0.58551400056378</x:v>
      </x:c>
      <x:c r="O152" s="24" t="n">
        <x:v>0.7070321678378975</x:v>
      </x:c>
      <x:c r="P152" s="24" t="n">
        <x:v>0.191521</x:v>
      </x:c>
      <x:c r="Q152" s="24"/>
      <x:c r="R152" s="24"/>
      <x:c r="S152" s="24" t="n">
        <x:v>0.826418</x:v>
      </x:c>
      <x:c r="T152" s="24"/>
      <x:c r="U152" s="24" t="n">
        <x:v>0.830694</x:v>
      </x:c>
      <x:c r="V152" s="24"/>
      <x:c r="W152" s="23" t="n">
        <x:v>51</x:v>
      </x:c>
      <x:c r="X152" s="23" t="n">
        <x:v>71</x:v>
      </x:c>
      <x:c r="Y152" s="25" t="n">
        <x:v>22.4115</x:v>
      </x:c>
      <x:c r="Z152" s="23" t="str">
        <x:v>benchmark/preprocessing_training/dim_600/snv/ir/seed_41/ttn/metrics.json</x:v>
      </x:c>
    </x:row>
    <x:row r="153">
      <x:c r="A153" s="23" t="str">
        <x:v>snv</x:v>
      </x:c>
      <x:c r="B153" s="23" t="str">
        <x:v>ir</x:v>
      </x:c>
      <x:c r="C153" s="23" t="str">
        <x:v>xgboost</x:v>
      </x:c>
      <x:c r="D153" s="23" t="n">
        <x:v>41</x:v>
      </x:c>
      <x:c r="E153" s="23" t="n">
        <x:v>600</x:v>
      </x:c>
      <x:c r="F153" s="23" t="n">
        <x:v>635496</x:v>
      </x:c>
      <x:c r="G153" s="23" t="n">
        <x:v>79450</x:v>
      </x:c>
      <x:c r="H153" s="23" t="n">
        <x:v>79457</x:v>
      </x:c>
      <x:c r="I153" s="24" t="n">
        <x:v>0.8398048065273414</x:v>
      </x:c>
      <x:c r="J153" s="24" t="n">
        <x:v>0.5653497534081584</x:v>
      </x:c>
      <x:c r="K153" s="24" t="n">
        <x:v>0.7025772799677499</x:v>
      </x:c>
      <x:c r="L153" s="24"/>
      <x:c r="M153" s="24" t="n">
        <x:v>0.8405753314674086</x:v>
      </x:c>
      <x:c r="N153" s="24" t="n">
        <x:v>0.55531006475522</x:v>
      </x:c>
      <x:c r="O153" s="24" t="n">
        <x:v>0.6979426981113144</x:v>
      </x:c>
      <x:c r="P153" s="24"/>
      <x:c r="Q153" s="24"/>
      <x:c r="R153" s="24"/>
      <x:c r="S153" s="24"/>
      <x:c r="T153" s="24"/>
      <x:c r="U153" s="24"/>
      <x:c r="V153" s="24"/>
      <x:c r="W153" s="23"/>
      <x:c r="X153" s="23"/>
      <x:c r="Y153" s="25" t="n">
        <x:v>8.358057012833402</x:v>
      </x:c>
      <x:c r="Z153" s="23" t="str">
        <x:v>benchmark/preprocessing_training/dim_600/snv/ir/seed_41/xgboost/ir/original/metrics.json</x:v>
      </x:c>
    </x:row>
    <x:row r="154">
      <x:c r="A154" s="23" t="str">
        <x:v>snv</x:v>
      </x:c>
      <x:c r="B154" s="23" t="str">
        <x:v>msms_neg</x:v>
      </x:c>
      <x:c r="C154" s="23" t="str">
        <x:v>cnn</x:v>
      </x:c>
      <x:c r="D154" s="23" t="n">
        <x:v>41</x:v>
      </x:c>
      <x:c r="E154" s="23" t="n">
        <x:v>600</x:v>
      </x:c>
      <x:c r="F154" s="23" t="n">
        <x:v>635496</x:v>
      </x:c>
      <x:c r="G154" s="23" t="n">
        <x:v>79450</x:v>
      </x:c>
      <x:c r="H154" s="23" t="n">
        <x:v>79457</x:v>
      </x:c>
      <x:c r="I154" s="24" t="n">
        <x:v>0.6426195973807723</x:v>
      </x:c>
      <x:c r="J154" s="24" t="n">
        <x:v>0.11768905360717688</x:v>
      </x:c>
      <x:c r="K154" s="24" t="n">
        <x:v>0.3801543254939746</x:v>
      </x:c>
      <x:c r="L154" s="24" t="n">
        <x:v>0.19659987092018127</x:v>
      </x:c>
      <x:c r="M154" s="24" t="n">
        <x:v>0.6425733387995154</x:v>
      </x:c>
      <x:c r="N154" s="24" t="n">
        <x:v>0.11728827140633334</x:v>
      </x:c>
      <x:c r="O154" s="24" t="n">
        <x:v>0.3799308051029244</x:v>
      </x:c>
      <x:c r="P154" s="24"/>
      <x:c r="Q154" s="24"/>
      <x:c r="R154" s="24"/>
      <x:c r="S154" s="24"/>
      <x:c r="T154" s="24"/>
      <x:c r="U154" s="24"/>
      <x:c r="V154" s="24"/>
      <x:c r="W154" s="23" t="n">
        <x:v>14</x:v>
      </x:c>
      <x:c r="X154" s="23" t="n">
        <x:v>32</x:v>
      </x:c>
      <x:c r="Y154" s="25" t="n">
        <x:v>24.99143018241642</x:v>
      </x:c>
      <x:c r="Z154" s="23" t="str">
        <x:v>benchmark/preprocessing_training/dim_600/snv/msms_neg/seed_41/cnn/neg_msms/original/metrics.json</x:v>
      </x:c>
    </x:row>
    <x:row r="155">
      <x:c r="A155" s="23" t="str">
        <x:v>snv</x:v>
      </x:c>
      <x:c r="B155" s="23" t="str">
        <x:v>msms_neg</x:v>
      </x:c>
      <x:c r="C155" s="23" t="str">
        <x:v>mps</x:v>
      </x:c>
      <x:c r="D155" s="23" t="n">
        <x:v>41</x:v>
      </x:c>
      <x:c r="E155" s="23" t="n">
        <x:v>600</x:v>
      </x:c>
      <x:c r="F155" s="23"/>
      <x:c r="G155" s="23"/>
      <x:c r="H155" s="23"/>
      <x:c r="I155" s="24" t="n">
        <x:v>0.3008</x:v>
      </x:c>
      <x:c r="J155" s="24" t="n">
        <x:v>0.1672</x:v>
      </x:c>
      <x:c r="K155" s="24" t="n">
        <x:v>0.23399999999999999</x:v>
      </x:c>
      <x:c r="L155" s="24" t="n">
        <x:v>1.2018</x:v>
      </x:c>
      <x:c r="M155" s="24" t="n">
        <x:v>0.3000396701747547</x:v>
      </x:c>
      <x:c r="N155" s="24" t="n">
        <x:v>0.16693659673123193</x:v>
      </x:c>
      <x:c r="O155" s="24" t="n">
        <x:v>0.2334881334529933</x:v>
      </x:c>
      <x:c r="P155" s="24" t="n">
        <x:v>1.2208</x:v>
      </x:c>
      <x:c r="Q155" s="24" t="n">
        <x:v>0</x:v>
      </x:c>
      <x:c r="R155" s="24" t="n">
        <x:v>0.5406</x:v>
      </x:c>
      <x:c r="S155" s="24" t="n">
        <x:v>0.2029</x:v>
      </x:c>
      <x:c r="T155" s="24" t="n">
        <x:v>0.1537</x:v>
      </x:c>
      <x:c r="U155" s="24" t="n">
        <x:v>0.5758</x:v>
      </x:c>
      <x:c r="V155" s="24" t="n">
        <x:v>0.4965</x:v>
      </x:c>
      <x:c r="W155" s="23" t="n">
        <x:v>1</x:v>
      </x:c>
      <x:c r="X155" s="23" t="n">
        <x:v>21</x:v>
      </x:c>
      <x:c r="Y155" s="25" t="n">
        <x:v>25</x:v>
      </x:c>
      <x:c r="Z155" s="23" t="str">
        <x:v>benchmark/preprocessing_training/dim_600/snv/msms_neg/seed_41/mps/results/metrics.json</x:v>
      </x:c>
    </x:row>
    <x:row r="156">
      <x:c r="A156" s="23" t="str">
        <x:v>snv</x:v>
      </x:c>
      <x:c r="B156" s="23" t="str">
        <x:v>msms_neg</x:v>
      </x:c>
      <x:c r="C156" s="23" t="str">
        <x:v>ttn</x:v>
      </x:c>
      <x:c r="D156" s="23" t="n">
        <x:v>41</x:v>
      </x:c>
      <x:c r="E156" s="23" t="n">
        <x:v>600</x:v>
      </x:c>
      <x:c r="F156" s="23"/>
      <x:c r="G156" s="23"/>
      <x:c r="H156" s="23"/>
      <x:c r="I156" s="24" t="n">
        <x:v>0.6396578921134574</x:v>
      </x:c>
      <x:c r="J156" s="24" t="n">
        <x:v>0.15397647222036945</x:v>
      </x:c>
      <x:c r="K156" s="24" t="n">
        <x:v>0.3968171821669134</x:v>
      </x:c>
      <x:c r="L156" s="24" t="n">
        <x:v>0.402667</x:v>
      </x:c>
      <x:c r="M156" s="24" t="n">
        <x:v>0.6394432126139443</x:v>
      </x:c>
      <x:c r="N156" s="24" t="n">
        <x:v>0.15349084582231615</x:v>
      </x:c>
      <x:c r="O156" s="24" t="n">
        <x:v>0.39646702921813026</x:v>
      </x:c>
      <x:c r="P156" s="24" t="n">
        <x:v>0.403534</x:v>
      </x:c>
      <x:c r="Q156" s="24"/>
      <x:c r="R156" s="24"/>
      <x:c r="S156" s="24" t="n">
        <x:v>0.72127</x:v>
      </x:c>
      <x:c r="T156" s="24"/>
      <x:c r="U156" s="24" t="n">
        <x:v>0.574291</x:v>
      </x:c>
      <x:c r="V156" s="24"/>
      <x:c r="W156" s="23" t="n">
        <x:v>60</x:v>
      </x:c>
      <x:c r="X156" s="23" t="n">
        <x:v>80</x:v>
      </x:c>
      <x:c r="Y156" s="25" t="n">
        <x:v>24.584666666666667</x:v>
      </x:c>
      <x:c r="Z156" s="23" t="str">
        <x:v>benchmark/preprocessing_training/dim_600/snv/msms_neg/seed_41/ttn/metrics.json</x:v>
      </x:c>
    </x:row>
    <x:row r="157">
      <x:c r="A157" s="23" t="str">
        <x:v>snv</x:v>
      </x:c>
      <x:c r="B157" s="23" t="str">
        <x:v>msms_neg</x:v>
      </x:c>
      <x:c r="C157" s="23" t="str">
        <x:v>xgboost</x:v>
      </x:c>
      <x:c r="D157" s="23" t="n">
        <x:v>41</x:v>
      </x:c>
      <x:c r="E157" s="23" t="n">
        <x:v>600</x:v>
      </x:c>
      <x:c r="F157" s="23" t="n">
        <x:v>635496</x:v>
      </x:c>
      <x:c r="G157" s="23" t="n">
        <x:v>79450</x:v>
      </x:c>
      <x:c r="H157" s="23" t="n">
        <x:v>79457</x:v>
      </x:c>
      <x:c r="I157" s="24" t="n">
        <x:v>0.6365857697075114</x:v>
      </x:c>
      <x:c r="J157" s="24" t="n">
        <x:v>0.11221515544990693</x:v>
      </x:c>
      <x:c r="K157" s="24" t="n">
        <x:v>0.3744004625787091</x:v>
      </x:c>
      <x:c r="L157" s="24"/>
      <x:c r="M157" s="24" t="n">
        <x:v>0.636434971158653</x:v>
      </x:c>
      <x:c r="N157" s="24" t="n">
        <x:v>0.11216520337306926</x:v>
      </x:c>
      <x:c r="O157" s="24" t="n">
        <x:v>0.3743000872658611</x:v>
      </x:c>
      <x:c r="P157" s="24"/>
      <x:c r="Q157" s="24"/>
      <x:c r="R157" s="24"/>
      <x:c r="S157" s="24"/>
      <x:c r="T157" s="24"/>
      <x:c r="U157" s="24"/>
      <x:c r="V157" s="24"/>
      <x:c r="W157" s="23"/>
      <x:c r="X157" s="23"/>
      <x:c r="Y157" s="25" t="n">
        <x:v>5.35935634230021</x:v>
      </x:c>
      <x:c r="Z157" s="23" t="str">
        <x:v>benchmark/preprocessing_training/dim_600/snv/msms_neg/seed_41/xgboost/neg_msms/original/metrics.json</x:v>
      </x:c>
    </x:row>
    <x:row r="158">
      <x:c r="A158" s="23" t="str">
        <x:v>snv</x:v>
      </x:c>
      <x:c r="B158" s="23" t="str">
        <x:v>msms_pos</x:v>
      </x:c>
      <x:c r="C158" s="23" t="str">
        <x:v>cnn</x:v>
      </x:c>
      <x:c r="D158" s="23" t="n">
        <x:v>41</x:v>
      </x:c>
      <x:c r="E158" s="23" t="n">
        <x:v>600</x:v>
      </x:c>
      <x:c r="F158" s="23" t="n">
        <x:v>635496</x:v>
      </x:c>
      <x:c r="G158" s="23" t="n">
        <x:v>79450</x:v>
      </x:c>
      <x:c r="H158" s="23" t="n">
        <x:v>79457</x:v>
      </x:c>
      <x:c r="I158" s="24" t="n">
        <x:v>0.6389076378524144</x:v>
      </x:c>
      <x:c r="J158" s="24" t="n">
        <x:v>0.10686853512374536</x:v>
      </x:c>
      <x:c r="K158" s="24" t="n">
        <x:v>0.3728880864880799</x:v>
      </x:c>
      <x:c r="L158" s="24" t="n">
        <x:v>0.1984003782272339</x:v>
      </x:c>
      <x:c r="M158" s="24" t="n">
        <x:v>0.6384382593469061</x:v>
      </x:c>
      <x:c r="N158" s="24" t="n">
        <x:v>0.10678298828313562</x:v>
      </x:c>
      <x:c r="O158" s="24" t="n">
        <x:v>0.37261062381502086</x:v>
      </x:c>
      <x:c r="P158" s="24"/>
      <x:c r="Q158" s="24"/>
      <x:c r="R158" s="24"/>
      <x:c r="S158" s="24"/>
      <x:c r="T158" s="24"/>
      <x:c r="U158" s="24"/>
      <x:c r="V158" s="24"/>
      <x:c r="W158" s="23" t="n">
        <x:v>17</x:v>
      </x:c>
      <x:c r="X158" s="23" t="n">
        <x:v>29</x:v>
      </x:c>
      <x:c r="Y158" s="25" t="n">
        <x:v>23.00992027488343</x:v>
      </x:c>
      <x:c r="Z158" s="23" t="str">
        <x:v>benchmark/preprocessing_training/dim_600/snv/msms_pos/seed_41/cnn/pos_msms/original/metrics.json</x:v>
      </x:c>
    </x:row>
    <x:row r="159">
      <x:c r="A159" s="23" t="str">
        <x:v>snv</x:v>
      </x:c>
      <x:c r="B159" s="23" t="str">
        <x:v>msms_pos</x:v>
      </x:c>
      <x:c r="C159" s="23" t="str">
        <x:v>mps</x:v>
      </x:c>
      <x:c r="D159" s="23" t="n">
        <x:v>41</x:v>
      </x:c>
      <x:c r="E159" s="23" t="n">
        <x:v>600</x:v>
      </x:c>
      <x:c r="F159" s="23"/>
      <x:c r="G159" s="23"/>
      <x:c r="H159" s="23"/>
      <x:c r="I159" s="24" t="n">
        <x:v>0.2986</x:v>
      </x:c>
      <x:c r="J159" s="24" t="n">
        <x:v>0.1762</x:v>
      </x:c>
      <x:c r="K159" s="24" t="n">
        <x:v>0.2374</x:v>
      </x:c>
      <x:c r="L159" s="24" t="n">
        <x:v>2.1419</x:v>
      </x:c>
      <x:c r="M159" s="24" t="n">
        <x:v>0.29807870774740153</x:v>
      </x:c>
      <x:c r="N159" s="24" t="n">
        <x:v>0.17636191772472237</x:v>
      </x:c>
      <x:c r="O159" s="24" t="n">
        <x:v>0.23722031273606195</x:v>
      </x:c>
      <x:c r="P159" s="24" t="n">
        <x:v>1.7145</x:v>
      </x:c>
      <x:c r="Q159" s="24" t="n">
        <x:v>0.0001</x:v>
      </x:c>
      <x:c r="R159" s="24" t="n">
        <x:v>0.5436</x:v>
      </x:c>
      <x:c r="S159" s="24" t="n">
        <x:v>0.2011</x:v>
      </x:c>
      <x:c r="T159" s="24" t="n">
        <x:v>0.16</x:v>
      </x:c>
      <x:c r="U159" s="24" t="n">
        <x:v>0.5753</x:v>
      </x:c>
      <x:c r="V159" s="24" t="n">
        <x:v>0.535</x:v>
      </x:c>
      <x:c r="W159" s="23" t="n">
        <x:v>89</x:v>
      </x:c>
      <x:c r="X159" s="23" t="n">
        <x:v>109</x:v>
      </x:c>
      <x:c r="Y159" s="25" t="n">
        <x:v>128.4</x:v>
      </x:c>
      <x:c r="Z159" s="23" t="str">
        <x:v>benchmark/preprocessing_training/dim_600/snv/msms_pos/seed_41/mps/results/metrics.json</x:v>
      </x:c>
    </x:row>
    <x:row r="160">
      <x:c r="A160" s="23" t="str">
        <x:v>snv</x:v>
      </x:c>
      <x:c r="B160" s="23" t="str">
        <x:v>msms_pos</x:v>
      </x:c>
      <x:c r="C160" s="23" t="str">
        <x:v>ttn</x:v>
      </x:c>
      <x:c r="D160" s="23" t="n">
        <x:v>41</x:v>
      </x:c>
      <x:c r="E160" s="23" t="n">
        <x:v>600</x:v>
      </x:c>
      <x:c r="F160" s="23"/>
      <x:c r="G160" s="23"/>
      <x:c r="H160" s="23"/>
      <x:c r="I160" s="24" t="n">
        <x:v>0.6381885598690937</x:v>
      </x:c>
      <x:c r="J160" s="24" t="n">
        <x:v>0.15180741168531686</x:v>
      </x:c>
      <x:c r="K160" s="24" t="n">
        <x:v>0.3949979857772053</x:v>
      </x:c>
      <x:c r="L160" s="24" t="n">
        <x:v>0.402352</x:v>
      </x:c>
      <x:c r="M160" s="24" t="n">
        <x:v>0.6380792009362553</x:v>
      </x:c>
      <x:c r="N160" s="24" t="n">
        <x:v>0.1499079112887327</x:v>
      </x:c>
      <x:c r="O160" s="24" t="n">
        <x:v>0.393993556112494</x:v>
      </x:c>
      <x:c r="P160" s="24" t="n">
        <x:v>0.403977</x:v>
      </x:c>
      <x:c r="Q160" s="24"/>
      <x:c r="R160" s="24"/>
      <x:c r="S160" s="24" t="n">
        <x:v>0.72554</x:v>
      </x:c>
      <x:c r="T160" s="24"/>
      <x:c r="U160" s="24" t="n">
        <x:v>0.569436</x:v>
      </x:c>
      <x:c r="V160" s="24"/>
      <x:c r="W160" s="23" t="n">
        <x:v>66</x:v>
      </x:c>
      <x:c r="X160" s="23" t="n">
        <x:v>86</x:v>
      </x:c>
      <x:c r="Y160" s="25" t="n">
        <x:v>26.406333333333336</x:v>
      </x:c>
      <x:c r="Z160" s="23" t="str">
        <x:v>benchmark/preprocessing_training/dim_600/snv/msms_pos/seed_41/ttn/metrics.json</x:v>
      </x:c>
    </x:row>
    <x:row r="161">
      <x:c r="A161" s="23" t="str">
        <x:v>snv</x:v>
      </x:c>
      <x:c r="B161" s="23" t="str">
        <x:v>msms_pos</x:v>
      </x:c>
      <x:c r="C161" s="23" t="str">
        <x:v>xgboost</x:v>
      </x:c>
      <x:c r="D161" s="23" t="n">
        <x:v>41</x:v>
      </x:c>
      <x:c r="E161" s="23" t="n">
        <x:v>600</x:v>
      </x:c>
      <x:c r="F161" s="23" t="n">
        <x:v>635496</x:v>
      </x:c>
      <x:c r="G161" s="23" t="n">
        <x:v>79450</x:v>
      </x:c>
      <x:c r="H161" s="23" t="n">
        <x:v>79457</x:v>
      </x:c>
      <x:c r="I161" s="24" t="n">
        <x:v>0.6357557616913367</x:v>
      </x:c>
      <x:c r="J161" s="24" t="n">
        <x:v>0.10320554186623247</x:v>
      </x:c>
      <x:c r="K161" s="24" t="n">
        <x:v>0.3694806517787846</x:v>
      </x:c>
      <x:c r="L161" s="24"/>
      <x:c r="M161" s="24" t="n">
        <x:v>0.6354846907768975</x:v>
      </x:c>
      <x:c r="N161" s="24" t="n">
        <x:v>0.10316152067766401</x:v>
      </x:c>
      <x:c r="O161" s="24" t="n">
        <x:v>0.3693231057272808</x:v>
      </x:c>
      <x:c r="P161" s="24"/>
      <x:c r="Q161" s="24"/>
      <x:c r="R161" s="24"/>
      <x:c r="S161" s="24"/>
      <x:c r="T161" s="24"/>
      <x:c r="U161" s="24"/>
      <x:c r="V161" s="24"/>
      <x:c r="W161" s="23"/>
      <x:c r="X161" s="23"/>
      <x:c r="Y161" s="25" t="n">
        <x:v>5.590973682983409</x:v>
      </x:c>
      <x:c r="Z161" s="23" t="str">
        <x:v>benchmark/preprocessing_training/dim_600/snv/msms_pos/seed_41/xgboost/pos_msms/original/metrics.json</x:v>
      </x:c>
    </x:row>
  </x:sheetData>
  <x:conditionalFormatting sqref="I2:K16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M2:O161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e1d495218c64055"/>
  </x:tableParts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10.779999732971191" hidden="0" customWidth="1"/>
    <x:col min="11" max="11" width="7.110000133514404" hidden="0" customWidth="1"/>
    <x:col min="12" max="12" width="7.440000057220459" hidden="0" customWidth="1"/>
    <x:col min="13" max="13" width="7" hidden="0" customWidth="1"/>
  </x:cols>
  <x:sheetData>
    <x:row r="2">
      <x:c r="A2" s="49" t="str">
        <x:v>Preprocessing-Benchmark – abgeschlossene Runs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</x:row>
    <x:row r="3">
      <x:c r="A3" s="50" t="str">
        <x:v>Snapshot 2026-10-24 20:49 CEST · Input 600 · Seed 41 · 4 Modelle × 5 Spektren je Parameter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</x:row>
    <x:row r="6">
      <x:c r="A6" s="17" t="str">
        <x:v>Rang</x:v>
      </x:c>
      <x:c r="B6" s="18" t="str">
        <x:v>Preprocessing</x:v>
      </x:c>
      <x:c r="C6" s="18" t="str">
        <x:v>Resultate</x:v>
      </x:c>
      <x:c r="D6" s="18" t="str">
        <x:v>Ø Val F1 micro</x:v>
      </x:c>
      <x:c r="E6" s="18" t="str">
        <x:v>Ø Val F1 macro</x:v>
      </x:c>
      <x:c r="F6" s="18" t="str">
        <x:v>Ø Val F1 blend</x:v>
      </x:c>
      <x:c r="G6" s="18" t="str">
        <x:v>Ø Test F1 micro</x:v>
      </x:c>
      <x:c r="H6" s="19" t="str">
        <x:v>Ø Test F1 macro</x:v>
      </x:c>
      <x:c r="I6" s="23"/>
      <x:c r="J6" s="17" t="str">
        <x:v>Preprocessing</x:v>
      </x:c>
      <x:c r="K6" s="18" t="str">
        <x:v>Val micro</x:v>
      </x:c>
      <x:c r="L6" s="18" t="str">
        <x:v>Val macro</x:v>
      </x:c>
      <x:c r="M6" s="19" t="str">
        <x:v>Val blend</x:v>
      </x:c>
      <x:c r="N6" s="23"/>
      <x:c r="O6" s="23"/>
      <x:c r="P6" s="23"/>
    </x:row>
    <x:row r="7">
      <x:c r="A7" s="52" t="n">
        <x:f>_xlfn.RANK.EQ(F7,$F$7:$F$14,0)</x:f>
        <x:v>1</x:v>
      </x:c>
      <x:c r="B7" s="53" t="str">
        <x:v>snv</x:v>
      </x:c>
      <x:c r="C7" s="53" t="n">
        <x:f>COUNTIF('Alle Resultate'!$A$2:$A$161,B7)</x:f>
        <x:v>20</x:v>
      </x:c>
      <x:c r="D7" s="54" t="n">
        <x:f>AVERAGEIF('Alle Resultate'!$A$2:$A$161,B7,'Alle Resultate'!$I$2:$I$161)</x:f>
        <x:v>0.684144363997567</x:v>
      </x:c>
      <x:c r="E7" s="54" t="n">
        <x:f>AVERAGEIF('Alle Resultate'!$A$2:$A$161,B7,'Alle Resultate'!$J$2:$J$161)</x:f>
        <x:v>0.31219574287976437</x:v>
      </x:c>
      <x:c r="F7" s="54" t="n">
        <x:f>AVERAGEIF('Alle Resultate'!$A$2:$A$161,B7,'Alle Resultate'!$K$2:$K$161)</x:f>
        <x:v>0.49817005343866566</x:v>
      </x:c>
      <x:c r="G7" s="54" t="n">
        <x:f>AVERAGEIF('Alle Resultate'!$A$2:$A$161,B7,'Alle Resultate'!$M$2:$M$161)</x:f>
        <x:v>0.6841567543007636</x:v>
      </x:c>
      <x:c r="H7" s="54" t="n">
        <x:f>AVERAGEIF('Alle Resultate'!$A$2:$A$161,B7,'Alle Resultate'!$N$2:$N$161)</x:f>
        <x:v>0.3092649524595792</x:v>
      </x:c>
      <x:c r="I7" s="23"/>
      <x:c r="J7" s="23" t="str">
        <x:f>B7</x:f>
        <x:v>snv</x:v>
      </x:c>
      <x:c r="K7" s="24" t="n">
        <x:f>D7</x:f>
        <x:v>0.684144363997567</x:v>
      </x:c>
      <x:c r="L7" s="24" t="n">
        <x:f>E7</x:f>
        <x:v>0.31219574287976437</x:v>
      </x:c>
      <x:c r="M7" s="24" t="n">
        <x:f>F7</x:f>
        <x:v>0.49817005343866566</x:v>
      </x:c>
      <x:c r="N7" s="23"/>
      <x:c r="O7" s="23"/>
      <x:c r="P7" s="23"/>
    </x:row>
    <x:row r="8">
      <x:c r="A8" s="55" t="n">
        <x:f>_xlfn.RANK.EQ(F8,$F$7:$F$14,0)</x:f>
        <x:v>2</x:v>
      </x:c>
      <x:c r="B8" s="23" t="str">
        <x:v>max</x:v>
      </x:c>
      <x:c r="C8" s="23" t="n">
        <x:f>COUNTIF('Alle Resultate'!$A$2:$A$161,B8)</x:f>
        <x:v>20</x:v>
      </x:c>
      <x:c r="D8" s="24" t="n">
        <x:f>AVERAGEIF('Alle Resultate'!$A$2:$A$161,B8,'Alle Resultate'!$I$2:$I$161)</x:f>
        <x:v>0.677012600307157</x:v>
      </x:c>
      <x:c r="E8" s="24" t="n">
        <x:f>AVERAGEIF('Alle Resultate'!$A$2:$A$161,B8,'Alle Resultate'!$J$2:$J$161)</x:f>
        <x:v>0.3057128662537763</x:v>
      </x:c>
      <x:c r="F8" s="24" t="n">
        <x:f>AVERAGEIF('Alle Resultate'!$A$2:$A$161,B8,'Alle Resultate'!$K$2:$K$161)</x:f>
        <x:v>0.49136273328046676</x:v>
      </x:c>
      <x:c r="G8" s="24" t="n">
        <x:f>AVERAGEIF('Alle Resultate'!$A$2:$A$161,B8,'Alle Resultate'!$M$2:$M$161)</x:f>
        <x:v>0.6770270503378637</x:v>
      </x:c>
      <x:c r="H8" s="24" t="n">
        <x:f>AVERAGEIF('Alle Resultate'!$A$2:$A$161,B8,'Alle Resultate'!$N$2:$N$161)</x:f>
        <x:v>0.30359195164785524</x:v>
      </x:c>
      <x:c r="I8" s="23"/>
      <x:c r="J8" s="23" t="str">
        <x:f>B8</x:f>
        <x:v>max</x:v>
      </x:c>
      <x:c r="K8" s="24" t="n">
        <x:f>D8</x:f>
        <x:v>0.677012600307157</x:v>
      </x:c>
      <x:c r="L8" s="24" t="n">
        <x:f>E8</x:f>
        <x:v>0.3057128662537763</x:v>
      </x:c>
      <x:c r="M8" s="24" t="n">
        <x:f>F8</x:f>
        <x:v>0.49136273328046676</x:v>
      </x:c>
      <x:c r="N8" s="23"/>
      <x:c r="O8" s="23"/>
      <x:c r="P8" s="23"/>
    </x:row>
    <x:row r="9">
      <x:c r="A9" s="55" t="n">
        <x:f>_xlfn.RANK.EQ(F9,$F$7:$F$14,0)</x:f>
        <x:v>3</x:v>
      </x:c>
      <x:c r="B9" s="23" t="str">
        <x:v>minmax</x:v>
      </x:c>
      <x:c r="C9" s="23" t="n">
        <x:f>COUNTIF('Alle Resultate'!$A$2:$A$161,B9)</x:f>
        <x:v>20</x:v>
      </x:c>
      <x:c r="D9" s="24" t="n">
        <x:f>AVERAGEIF('Alle Resultate'!$A$2:$A$161,B9,'Alle Resultate'!$I$2:$I$161)</x:f>
        <x:v>0.6749484240118803</x:v>
      </x:c>
      <x:c r="E9" s="24" t="n">
        <x:f>AVERAGEIF('Alle Resultate'!$A$2:$A$161,B9,'Alle Resultate'!$J$2:$J$161)</x:f>
        <x:v>0.30238569022293565</x:v>
      </x:c>
      <x:c r="F9" s="24" t="n">
        <x:f>AVERAGEIF('Alle Resultate'!$A$2:$A$161,B9,'Alle Resultate'!$K$2:$K$161)</x:f>
        <x:v>0.48866705711740793</x:v>
      </x:c>
      <x:c r="G9" s="24" t="n">
        <x:f>AVERAGEIF('Alle Resultate'!$A$2:$A$161,B9,'Alle Resultate'!$M$2:$M$161)</x:f>
        <x:v>0.6749739590287187</x:v>
      </x:c>
      <x:c r="H9" s="24" t="n">
        <x:f>AVERAGEIF('Alle Resultate'!$A$2:$A$161,B9,'Alle Resultate'!$N$2:$N$161)</x:f>
        <x:v>0.2991744498297928</x:v>
      </x:c>
      <x:c r="I9" s="23"/>
      <x:c r="J9" s="23" t="str">
        <x:f>B9</x:f>
        <x:v>minmax</x:v>
      </x:c>
      <x:c r="K9" s="24" t="n">
        <x:f>D9</x:f>
        <x:v>0.6749484240118803</x:v>
      </x:c>
      <x:c r="L9" s="24" t="n">
        <x:f>E9</x:f>
        <x:v>0.30238569022293565</x:v>
      </x:c>
      <x:c r="M9" s="24" t="n">
        <x:f>F9</x:f>
        <x:v>0.48866705711740793</x:v>
      </x:c>
      <x:c r="N9" s="23"/>
      <x:c r="O9" s="23"/>
      <x:c r="P9" s="23"/>
    </x:row>
    <x:row r="10">
      <x:c r="A10" s="55" t="n">
        <x:f>_xlfn.RANK.EQ(F10,$F$7:$F$14,0)</x:f>
        <x:v>4</x:v>
      </x:c>
      <x:c r="B10" s="23" t="str">
        <x:v>l2</x:v>
      </x:c>
      <x:c r="C10" s="23" t="n">
        <x:f>COUNTIF('Alle Resultate'!$A$2:$A$161,B10)</x:f>
        <x:v>20</x:v>
      </x:c>
      <x:c r="D10" s="24" t="n">
        <x:f>AVERAGEIF('Alle Resultate'!$A$2:$A$161,B10,'Alle Resultate'!$I$2:$I$161)</x:f>
        <x:v>0.6686222435189919</x:v>
      </x:c>
      <x:c r="E10" s="24" t="n">
        <x:f>AVERAGEIF('Alle Resultate'!$A$2:$A$161,B10,'Alle Resultate'!$J$2:$J$161)</x:f>
        <x:v>0.2946317173617084</x:v>
      </x:c>
      <x:c r="F10" s="24" t="n">
        <x:f>AVERAGEIF('Alle Resultate'!$A$2:$A$161,B10,'Alle Resultate'!$K$2:$K$161)</x:f>
        <x:v>0.4816269804403503</x:v>
      </x:c>
      <x:c r="G10" s="24" t="n">
        <x:f>AVERAGEIF('Alle Resultate'!$A$2:$A$161,B10,'Alle Resultate'!$M$2:$M$161)</x:f>
        <x:v>0.6685911513515737</x:v>
      </x:c>
      <x:c r="H10" s="24" t="n">
        <x:f>AVERAGEIF('Alle Resultate'!$A$2:$A$161,B10,'Alle Resultate'!$N$2:$N$161)</x:f>
        <x:v>0.2903965031952368</x:v>
      </x:c>
      <x:c r="I10" s="23"/>
      <x:c r="J10" s="23" t="str">
        <x:f>B10</x:f>
        <x:v>l2</x:v>
      </x:c>
      <x:c r="K10" s="24" t="n">
        <x:f>D10</x:f>
        <x:v>0.6686222435189919</x:v>
      </x:c>
      <x:c r="L10" s="24" t="n">
        <x:f>E10</x:f>
        <x:v>0.2946317173617084</x:v>
      </x:c>
      <x:c r="M10" s="24" t="n">
        <x:f>F10</x:f>
        <x:v>0.4816269804403503</x:v>
      </x:c>
      <x:c r="N10" s="23"/>
      <x:c r="O10" s="23"/>
      <x:c r="P10" s="23"/>
    </x:row>
    <x:row r="11">
      <x:c r="A11" s="55" t="n">
        <x:f>_xlfn.RANK.EQ(F11,$F$7:$F$14,0)</x:f>
        <x:v>5</x:v>
      </x:c>
      <x:c r="B11" s="23" t="str">
        <x:v>none</x:v>
      </x:c>
      <x:c r="C11" s="23" t="n">
        <x:f>COUNTIF('Alle Resultate'!$A$2:$A$161,B11)</x:f>
        <x:v>20</x:v>
      </x:c>
      <x:c r="D11" s="24" t="n">
        <x:f>AVERAGEIF('Alle Resultate'!$A$2:$A$161,B11,'Alle Resultate'!$I$2:$I$161)</x:f>
        <x:v>0.6619785688240538</x:v>
      </x:c>
      <x:c r="E11" s="24" t="n">
        <x:f>AVERAGEIF('Alle Resultate'!$A$2:$A$161,B11,'Alle Resultate'!$J$2:$J$161)</x:f>
        <x:v>0.29272830254636506</x:v>
      </x:c>
      <x:c r="F11" s="24" t="n">
        <x:f>AVERAGEIF('Alle Resultate'!$A$2:$A$161,B11,'Alle Resultate'!$K$2:$K$161)</x:f>
        <x:v>0.47735343568520944</x:v>
      </x:c>
      <x:c r="G11" s="24" t="n">
        <x:f>AVERAGEIF('Alle Resultate'!$A$2:$A$161,B11,'Alle Resultate'!$M$2:$M$161)</x:f>
        <x:v>0.6621744178498423</x:v>
      </x:c>
      <x:c r="H11" s="24" t="n">
        <x:f>AVERAGEIF('Alle Resultate'!$A$2:$A$161,B11,'Alle Resultate'!$N$2:$N$161)</x:f>
        <x:v>0.2905437974205397</x:v>
      </x:c>
      <x:c r="I11" s="23"/>
      <x:c r="J11" s="23" t="str">
        <x:f>B11</x:f>
        <x:v>none</x:v>
      </x:c>
      <x:c r="K11" s="24" t="n">
        <x:f>D11</x:f>
        <x:v>0.6619785688240538</x:v>
      </x:c>
      <x:c r="L11" s="24" t="n">
        <x:f>E11</x:f>
        <x:v>0.29272830254636506</x:v>
      </x:c>
      <x:c r="M11" s="24" t="n">
        <x:f>F11</x:f>
        <x:v>0.47735343568520944</x:v>
      </x:c>
      <x:c r="N11" s="23"/>
      <x:c r="O11" s="23"/>
      <x:c r="P11" s="23"/>
    </x:row>
    <x:row r="12">
      <x:c r="A12" s="55" t="n">
        <x:f>_xlfn.RANK.EQ(F12,$F$7:$F$14,0)</x:f>
        <x:v>6</x:v>
      </x:c>
      <x:c r="B12" s="23" t="str">
        <x:v>gaussian</x:v>
      </x:c>
      <x:c r="C12" s="23" t="n">
        <x:f>COUNTIF('Alle Resultate'!$A$2:$A$161,B12)</x:f>
        <x:v>20</x:v>
      </x:c>
      <x:c r="D12" s="24" t="n">
        <x:f>AVERAGEIF('Alle Resultate'!$A$2:$A$161,B12,'Alle Resultate'!$I$2:$I$161)</x:f>
        <x:v>0.6558668218670058</x:v>
      </x:c>
      <x:c r="E12" s="24" t="n">
        <x:f>AVERAGEIF('Alle Resultate'!$A$2:$A$161,B12,'Alle Resultate'!$J$2:$J$161)</x:f>
        <x:v>0.28777369577293027</x:v>
      </x:c>
      <x:c r="F12" s="24" t="n">
        <x:f>AVERAGEIF('Alle Resultate'!$A$2:$A$161,B12,'Alle Resultate'!$K$2:$K$161)</x:f>
        <x:v>0.471820258819968</x:v>
      </x:c>
      <x:c r="G12" s="24" t="n">
        <x:f>AVERAGEIF('Alle Resultate'!$A$2:$A$161,B12,'Alle Resultate'!$M$2:$M$161)</x:f>
        <x:v>0.6561237991776723</x:v>
      </x:c>
      <x:c r="H12" s="24" t="n">
        <x:f>AVERAGEIF('Alle Resultate'!$A$2:$A$161,B12,'Alle Resultate'!$N$2:$N$161)</x:f>
        <x:v>0.2844102641618741</x:v>
      </x:c>
      <x:c r="I12" s="23"/>
      <x:c r="J12" s="23" t="str">
        <x:f>B12</x:f>
        <x:v>gaussian</x:v>
      </x:c>
      <x:c r="K12" s="24" t="n">
        <x:f>D12</x:f>
        <x:v>0.6558668218670058</x:v>
      </x:c>
      <x:c r="L12" s="24" t="n">
        <x:f>E12</x:f>
        <x:v>0.28777369577293027</x:v>
      </x:c>
      <x:c r="M12" s="24" t="n">
        <x:f>F12</x:f>
        <x:v>0.471820258819968</x:v>
      </x:c>
      <x:c r="N12" s="23"/>
      <x:c r="O12" s="23"/>
      <x:c r="P12" s="23"/>
    </x:row>
    <x:row r="13">
      <x:c r="A13" s="55" t="n">
        <x:f>_xlfn.RANK.EQ(F13,$F$7:$F$14,0)</x:f>
        <x:v>7</x:v>
      </x:c>
      <x:c r="B13" s="23" t="str">
        <x:v>savgol</x:v>
      </x:c>
      <x:c r="C13" s="23" t="n">
        <x:f>COUNTIF('Alle Resultate'!$A$2:$A$161,B13)</x:f>
        <x:v>20</x:v>
      </x:c>
      <x:c r="D13" s="24" t="n">
        <x:f>AVERAGEIF('Alle Resultate'!$A$2:$A$161,B13,'Alle Resultate'!$I$2:$I$161)</x:f>
        <x:v>0.6516508877941718</x:v>
      </x:c>
      <x:c r="E13" s="24" t="n">
        <x:f>AVERAGEIF('Alle Resultate'!$A$2:$A$161,B13,'Alle Resultate'!$J$2:$J$161)</x:f>
        <x:v>0.28570259969118666</x:v>
      </x:c>
      <x:c r="F13" s="24" t="n">
        <x:f>AVERAGEIF('Alle Resultate'!$A$2:$A$161,B13,'Alle Resultate'!$K$2:$K$161)</x:f>
        <x:v>0.46867674374267915</x:v>
      </x:c>
      <x:c r="G13" s="24" t="n">
        <x:f>AVERAGEIF('Alle Resultate'!$A$2:$A$161,B13,'Alle Resultate'!$M$2:$M$161)</x:f>
        <x:v>0.6517333845023835</x:v>
      </x:c>
      <x:c r="H13" s="24" t="n">
        <x:f>AVERAGEIF('Alle Resultate'!$A$2:$A$161,B13,'Alle Resultate'!$N$2:$N$161)</x:f>
        <x:v>0.2835896906415316</x:v>
      </x:c>
      <x:c r="I13" s="23"/>
      <x:c r="J13" s="23" t="str">
        <x:f>B13</x:f>
        <x:v>savgol</x:v>
      </x:c>
      <x:c r="K13" s="24" t="n">
        <x:f>D13</x:f>
        <x:v>0.6516508877941718</x:v>
      </x:c>
      <x:c r="L13" s="24" t="n">
        <x:f>E13</x:f>
        <x:v>0.28570259969118666</x:v>
      </x:c>
      <x:c r="M13" s="24" t="n">
        <x:f>F13</x:f>
        <x:v>0.46867674374267915</x:v>
      </x:c>
      <x:c r="N13" s="23"/>
      <x:c r="O13" s="23"/>
      <x:c r="P13" s="23"/>
    </x:row>
    <x:row r="14">
      <x:c r="A14" s="56" t="n">
        <x:f>_xlfn.RANK.EQ(F14,$F$7:$F$14,0)</x:f>
        <x:v>8</x:v>
      </x:c>
      <x:c r="B14" s="57" t="str">
        <x:v>area</x:v>
      </x:c>
      <x:c r="C14" s="57" t="n">
        <x:f>COUNTIF('Alle Resultate'!$A$2:$A$161,B14)</x:f>
        <x:v>20</x:v>
      </x:c>
      <x:c r="D14" s="58" t="n">
        <x:f>AVERAGEIF('Alle Resultate'!$A$2:$A$161,B14,'Alle Resultate'!$I$2:$I$161)</x:f>
        <x:v>0.6565012627336638</x:v>
      </x:c>
      <x:c r="E14" s="58" t="n">
        <x:f>AVERAGEIF('Alle Resultate'!$A$2:$A$161,B14,'Alle Resultate'!$J$2:$J$161)</x:f>
        <x:v>0.2759606848704007</x:v>
      </x:c>
      <x:c r="F14" s="58" t="n">
        <x:f>AVERAGEIF('Alle Resultate'!$A$2:$A$161,B14,'Alle Resultate'!$K$2:$K$161)</x:f>
        <x:v>0.46623097380203216</x:v>
      </x:c>
      <x:c r="G14" s="58" t="n">
        <x:f>AVERAGEIF('Alle Resultate'!$A$2:$A$161,B14,'Alle Resultate'!$M$2:$M$161)</x:f>
        <x:v>0.6564816063097675</x:v>
      </x:c>
      <x:c r="H14" s="58" t="n">
        <x:f>AVERAGEIF('Alle Resultate'!$A$2:$A$161,B14,'Alle Resultate'!$N$2:$N$161)</x:f>
        <x:v>0.27131563412834636</x:v>
      </x:c>
      <x:c r="I14" s="23"/>
      <x:c r="J14" s="23" t="str">
        <x:f>B14</x:f>
        <x:v>area</x:v>
      </x:c>
      <x:c r="K14" s="24" t="n">
        <x:f>D14</x:f>
        <x:v>0.6565012627336638</x:v>
      </x:c>
      <x:c r="L14" s="24" t="n">
        <x:f>E14</x:f>
        <x:v>0.2759606848704007</x:v>
      </x:c>
      <x:c r="M14" s="24" t="n">
        <x:f>F14</x:f>
        <x:v>0.46623097380203216</x:v>
      </x:c>
      <x:c r="N14" s="23"/>
      <x:c r="O14" s="23"/>
      <x:c r="P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</x:row>
    <x:row r="17">
      <x:c r="A17" s="17" t="str">
        <x:v>Kernaussage</x:v>
      </x:c>
      <x:c r="B17" s="18" t="str">
        <x:v>Wert</x:v>
      </x:c>
      <x:c r="C17" s="18" t="str">
        <x:v>Definition</x:v>
      </x:c>
      <x:c r="D17" s="19" t="str">
        <x:v>Hinweis</x:v>
      </x:c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</x:row>
    <x:row r="18">
      <x:c r="A18" s="23" t="str">
        <x:v>Bester Parameter gesamt</x:v>
      </x:c>
      <x:c r="B18" s="59" t="str">
        <x:v>snv</x:v>
      </x:c>
      <x:c r="C18" s="23" t="str">
        <x:v>höchster Ø Val F1 blend</x:v>
      </x:c>
      <x:c r="D18" s="23" t="str">
        <x:v>Blend = (micro + macro) / 2</x:v>
      </x:c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</x:row>
    <x:row r="19">
      <x:c r="A19" s="23" t="str">
        <x:v>Vollständig ausgewertet</x:v>
      </x:c>
      <x:c r="B19" s="59" t="n">
        <x:v>8</x:v>
      </x:c>
      <x:c r="C19" s="23" t="str">
        <x:v>Preprocessing-Parameter</x:v>
      </x:c>
      <x:c r="D19" s="23" t="str">
        <x:v>je 20 Resultate</x:v>
      </x:c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</x:row>
    <x:row r="20">
      <x:c r="A20" s="23" t="str">
        <x:v>Resultate im Vergleich</x:v>
      </x:c>
      <x:c r="B20" s="59" t="n">
        <x:v>160</x:v>
      </x:c>
      <x:c r="C20" s="23" t="str">
        <x:v>8 × 4 Modelle × 5 Spektren</x:v>
      </x:c>
      <x:c r="D20" s="23" t="str">
        <x:v>nur abgeschlossene Parameter</x:v>
      </x:c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</x:row>
    <x:row r="21">
      <x:c r="A21" s="57" t="str">
        <x:v>Fehlende Felder</x:v>
      </x:c>
      <x:c r="B21" s="57" t="str">
        <x:v>leer</x:v>
      </x:c>
      <x:c r="C21" s="57" t="str">
        <x:v>nicht vom jeweiligen Trainer gespeichert</x:v>
      </x:c>
      <x:c r="D21" s="57" t="str">
        <x:v>keine Schätzung/Null-Auffüllung</x:v>
      </x:c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</x:row>
  </x:sheetData>
  <x:conditionalFormatting sqref="F7:F1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71ee5aa5ad20490f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8" hidden="0" customWidth="1"/>
  </x:cols>
  <x:sheetData>
    <x:row r="2">
      <x:c r="A2" s="49" t="str">
        <x:v>Direktvergleich je ML-Modell und Spektrum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>
      <x:c r="A3" s="50" t="str">
        <x:v>Bestes Preprocessing wird nach Validation F1 blend bestimmt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</x:row>
    <x:row r="6">
      <x:c r="A6" s="49" t="str">
        <x:v>Validation F1 blend</x:v>
      </x:c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</x:row>
    <x:row r="8">
      <x:c r="A8" s="17" t="str">
        <x:v>ML-Modell</x:v>
      </x:c>
      <x:c r="B8" s="18" t="str">
        <x:v>Spektrum</x:v>
      </x:c>
      <x:c r="C8" s="18" t="str">
        <x:v>none</x:v>
      </x:c>
      <x:c r="D8" s="18" t="str">
        <x:v>snv</x:v>
      </x:c>
      <x:c r="E8" s="18" t="str">
        <x:v>minmax</x:v>
      </x:c>
      <x:c r="F8" s="18" t="str">
        <x:v>max</x:v>
      </x:c>
      <x:c r="G8" s="18" t="str">
        <x:v>area</x:v>
      </x:c>
      <x:c r="H8" s="18" t="str">
        <x:v>l2</x:v>
      </x:c>
      <x:c r="I8" s="18" t="str">
        <x:v>savgol</x:v>
      </x:c>
      <x:c r="J8" s="18" t="str">
        <x:v>gaussian</x:v>
      </x:c>
      <x:c r="K8" s="18" t="str">
        <x:v>Bestwert</x:v>
      </x:c>
      <x:c r="L8" s="19" t="str">
        <x:v>Bester Parameter</x:v>
      </x:c>
    </x:row>
    <x:row r="9">
      <x:c r="A9" s="23" t="str">
        <x:v>cnn</x:v>
      </x:c>
      <x:c r="B9" s="23" t="str">
        <x:v>cnmr</x:v>
      </x:c>
      <x:c r="C9" s="24" t="n">
        <x:f>AVERAGEIFS('Alle Resultate'!$K$2:$K$161,'Alle Resultate'!$A$2:$A$161,C$8,'Alle Resultate'!$B$2:$B$161,$B9,'Alle Resultate'!$C$2:$C$161,$A9)</x:f>
        <x:v>0.3056574289898154</x:v>
      </x:c>
      <x:c r="D9" s="24" t="n">
        <x:f>AVERAGEIFS('Alle Resultate'!$K$2:$K$161,'Alle Resultate'!$A$2:$A$161,D$8,'Alle Resultate'!$B$2:$B$161,$B9,'Alle Resultate'!$C$2:$C$161,$A9)</x:f>
        <x:v>0.5565136705777908</x:v>
      </x:c>
      <x:c r="E9" s="24" t="n">
        <x:f>AVERAGEIFS('Alle Resultate'!$K$2:$K$161,'Alle Resultate'!$A$2:$A$161,E$8,'Alle Resultate'!$B$2:$B$161,$B9,'Alle Resultate'!$C$2:$C$161,$A9)</x:f>
        <x:v>0.4547294182469752</x:v>
      </x:c>
      <x:c r="F9" s="24" t="n">
        <x:f>AVERAGEIFS('Alle Resultate'!$K$2:$K$161,'Alle Resultate'!$A$2:$A$161,F$8,'Alle Resultate'!$B$2:$B$161,$B9,'Alle Resultate'!$C$2:$C$161,$A9)</x:f>
        <x:v>0.45811445511705345</x:v>
      </x:c>
      <x:c r="G9" s="24" t="n">
        <x:f>AVERAGEIFS('Alle Resultate'!$K$2:$K$161,'Alle Resultate'!$A$2:$A$161,G$8,'Alle Resultate'!$B$2:$B$161,$B9,'Alle Resultate'!$C$2:$C$161,$A9)</x:f>
        <x:v>0.39030224281240483</x:v>
      </x:c>
      <x:c r="H9" s="24" t="n">
        <x:f>AVERAGEIFS('Alle Resultate'!$K$2:$K$161,'Alle Resultate'!$A$2:$A$161,H$8,'Alle Resultate'!$B$2:$B$161,$B9,'Alle Resultate'!$C$2:$C$161,$A9)</x:f>
        <x:v>0.3340596585876381</x:v>
      </x:c>
      <x:c r="I9" s="24" t="n">
        <x:f>AVERAGEIFS('Alle Resultate'!$K$2:$K$161,'Alle Resultate'!$A$2:$A$161,I$8,'Alle Resultate'!$B$2:$B$161,$B9,'Alle Resultate'!$C$2:$C$161,$A9)</x:f>
        <x:v>0.28556254216986976</x:v>
      </x:c>
      <x:c r="J9" s="24" t="n">
        <x:f>AVERAGEIFS('Alle Resultate'!$K$2:$K$161,'Alle Resultate'!$A$2:$A$161,J$8,'Alle Resultate'!$B$2:$B$161,$B9,'Alle Resultate'!$C$2:$C$161,$A9)</x:f>
        <x:v>0.3194362497782805</x:v>
      </x:c>
      <x:c r="K9" s="69" t="n">
        <x:f>MAX(C9:J9)</x:f>
        <x:v>0.5565136705777908</x:v>
      </x:c>
      <x:c r="L9" s="70" t="str">
        <x:f>INDEX($C$8:$J$8,1,MATCH(K9,C9:J9,0))</x:f>
        <x:v>snv</x:v>
      </x:c>
    </x:row>
    <x:row r="10">
      <x:c r="A10" s="23" t="str">
        <x:v>cnn</x:v>
      </x:c>
      <x:c r="B10" s="23" t="str">
        <x:v>hnmr</x:v>
      </x:c>
      <x:c r="C10" s="24" t="n">
        <x:f>AVERAGEIFS('Alle Resultate'!$K$2:$K$161,'Alle Resultate'!$A$2:$A$161,C$8,'Alle Resultate'!$B$2:$B$161,$B10,'Alle Resultate'!$C$2:$C$161,$A10)</x:f>
        <x:v>0.35445959067044197</x:v>
      </x:c>
      <x:c r="D10" s="24" t="n">
        <x:f>AVERAGEIFS('Alle Resultate'!$K$2:$K$161,'Alle Resultate'!$A$2:$A$161,D$8,'Alle Resultate'!$B$2:$B$161,$B10,'Alle Resultate'!$C$2:$C$161,$A10)</x:f>
        <x:v>0.5553737249143765</x:v>
      </x:c>
      <x:c r="E10" s="24" t="n">
        <x:f>AVERAGEIFS('Alle Resultate'!$K$2:$K$161,'Alle Resultate'!$A$2:$A$161,E$8,'Alle Resultate'!$B$2:$B$161,$B10,'Alle Resultate'!$C$2:$C$161,$A10)</x:f>
        <x:v>0.5132797164562832</x:v>
      </x:c>
      <x:c r="F10" s="24" t="n">
        <x:f>AVERAGEIFS('Alle Resultate'!$K$2:$K$161,'Alle Resultate'!$A$2:$A$161,F$8,'Alle Resultate'!$B$2:$B$161,$B10,'Alle Resultate'!$C$2:$C$161,$A10)</x:f>
        <x:v>0.5336832907714817</x:v>
      </x:c>
      <x:c r="G10" s="24" t="n">
        <x:f>AVERAGEIFS('Alle Resultate'!$K$2:$K$161,'Alle Resultate'!$A$2:$A$161,G$8,'Alle Resultate'!$B$2:$B$161,$B10,'Alle Resultate'!$C$2:$C$161,$A10)</x:f>
        <x:v>0.42033154190803024</x:v>
      </x:c>
      <x:c r="H10" s="24" t="n">
        <x:f>AVERAGEIFS('Alle Resultate'!$K$2:$K$161,'Alle Resultate'!$A$2:$A$161,H$8,'Alle Resultate'!$B$2:$B$161,$B10,'Alle Resultate'!$C$2:$C$161,$A10)</x:f>
        <x:v>0.42587070525806403</x:v>
      </x:c>
      <x:c r="I10" s="24" t="n">
        <x:f>AVERAGEIFS('Alle Resultate'!$K$2:$K$161,'Alle Resultate'!$A$2:$A$161,I$8,'Alle Resultate'!$B$2:$B$161,$B10,'Alle Resultate'!$C$2:$C$161,$A10)</x:f>
        <x:v>0.3238775276641306</x:v>
      </x:c>
      <x:c r="J10" s="24" t="n">
        <x:f>AVERAGEIFS('Alle Resultate'!$K$2:$K$161,'Alle Resultate'!$A$2:$A$161,J$8,'Alle Resultate'!$B$2:$B$161,$B10,'Alle Resultate'!$C$2:$C$161,$A10)</x:f>
        <x:v>0.3129497272479748</x:v>
      </x:c>
      <x:c r="K10" s="69" t="n">
        <x:f>MAX(C10:J10)</x:f>
        <x:v>0.5553737249143765</x:v>
      </x:c>
      <x:c r="L10" s="70" t="str">
        <x:f>INDEX($C$8:$J$8,1,MATCH(K10,C10:J10,0))</x:f>
        <x:v>snv</x:v>
      </x:c>
    </x:row>
    <x:row r="11">
      <x:c r="A11" s="23" t="str">
        <x:v>cnn</x:v>
      </x:c>
      <x:c r="B11" s="23" t="str">
        <x:v>ir</x:v>
      </x:c>
      <x:c r="C11" s="24" t="n">
        <x:f>AVERAGEIFS('Alle Resultate'!$K$2:$K$161,'Alle Resultate'!$A$2:$A$161,C$8,'Alle Resultate'!$B$2:$B$161,$B11,'Alle Resultate'!$C$2:$C$161,$A11)</x:f>
        <x:v>0.7697111113544243</x:v>
      </x:c>
      <x:c r="D11" s="24" t="n">
        <x:f>AVERAGEIFS('Alle Resultate'!$K$2:$K$161,'Alle Resultate'!$A$2:$A$161,D$8,'Alle Resultate'!$B$2:$B$161,$B11,'Alle Resultate'!$C$2:$C$161,$A11)</x:f>
        <x:v>0.7875155047634684</x:v>
      </x:c>
      <x:c r="E11" s="24" t="n">
        <x:f>AVERAGEIFS('Alle Resultate'!$K$2:$K$161,'Alle Resultate'!$A$2:$A$161,E$8,'Alle Resultate'!$B$2:$B$161,$B11,'Alle Resultate'!$C$2:$C$161,$A11)</x:f>
        <x:v>0.7719707390735755</x:v>
      </x:c>
      <x:c r="F11" s="24" t="n">
        <x:f>AVERAGEIFS('Alle Resultate'!$K$2:$K$161,'Alle Resultate'!$A$2:$A$161,F$8,'Alle Resultate'!$B$2:$B$161,$B11,'Alle Resultate'!$C$2:$C$161,$A11)</x:f>
        <x:v>0.7740690952392658</x:v>
      </x:c>
      <x:c r="G11" s="24" t="n">
        <x:f>AVERAGEIFS('Alle Resultate'!$K$2:$K$161,'Alle Resultate'!$A$2:$A$161,G$8,'Alle Resultate'!$B$2:$B$161,$B11,'Alle Resultate'!$C$2:$C$161,$A11)</x:f>
        <x:v>0.42534170299466323</x:v>
      </x:c>
      <x:c r="H11" s="24" t="n">
        <x:f>AVERAGEIFS('Alle Resultate'!$K$2:$K$161,'Alle Resultate'!$A$2:$A$161,H$8,'Alle Resultate'!$B$2:$B$161,$B11,'Alle Resultate'!$C$2:$C$161,$A11)</x:f>
        <x:v>0.7807457606864818</x:v>
      </x:c>
      <x:c r="I11" s="24" t="n">
        <x:f>AVERAGEIFS('Alle Resultate'!$K$2:$K$161,'Alle Resultate'!$A$2:$A$161,I$8,'Alle Resultate'!$B$2:$B$161,$B11,'Alle Resultate'!$C$2:$C$161,$A11)</x:f>
        <x:v>0.7684928040616219</x:v>
      </x:c>
      <x:c r="J11" s="24" t="n">
        <x:f>AVERAGEIFS('Alle Resultate'!$K$2:$K$161,'Alle Resultate'!$A$2:$A$161,J$8,'Alle Resultate'!$B$2:$B$161,$B11,'Alle Resultate'!$C$2:$C$161,$A11)</x:f>
        <x:v>0.7599417362693199</x:v>
      </x:c>
      <x:c r="K11" s="69" t="n">
        <x:f>MAX(C11:J11)</x:f>
        <x:v>0.7875155047634684</x:v>
      </x:c>
      <x:c r="L11" s="70" t="str">
        <x:f>INDEX($C$8:$J$8,1,MATCH(K11,C11:J11,0))</x:f>
        <x:v>snv</x:v>
      </x:c>
    </x:row>
    <x:row r="12">
      <x:c r="A12" s="23" t="str">
        <x:v>cnn</x:v>
      </x:c>
      <x:c r="B12" s="23" t="str">
        <x:v>msms_pos</x:v>
      </x:c>
      <x:c r="C12" s="24" t="n">
        <x:f>AVERAGEIFS('Alle Resultate'!$K$2:$K$161,'Alle Resultate'!$A$2:$A$161,C$8,'Alle Resultate'!$B$2:$B$161,$B12,'Alle Resultate'!$C$2:$C$161,$A12)</x:f>
        <x:v>0.37436299007002866</x:v>
      </x:c>
      <x:c r="D12" s="24" t="n">
        <x:f>AVERAGEIFS('Alle Resultate'!$K$2:$K$161,'Alle Resultate'!$A$2:$A$161,D$8,'Alle Resultate'!$B$2:$B$161,$B12,'Alle Resultate'!$C$2:$C$161,$A12)</x:f>
        <x:v>0.3728880864880799</x:v>
      </x:c>
      <x:c r="E12" s="24" t="n">
        <x:f>AVERAGEIFS('Alle Resultate'!$K$2:$K$161,'Alle Resultate'!$A$2:$A$161,E$8,'Alle Resultate'!$B$2:$B$161,$B12,'Alle Resultate'!$C$2:$C$161,$A12)</x:f>
        <x:v>0.365755232684397</x:v>
      </x:c>
      <x:c r="F12" s="24" t="n">
        <x:f>AVERAGEIFS('Alle Resultate'!$K$2:$K$161,'Alle Resultate'!$A$2:$A$161,F$8,'Alle Resultate'!$B$2:$B$161,$B12,'Alle Resultate'!$C$2:$C$161,$A12)</x:f>
        <x:v>0.3711455266167332</x:v>
      </x:c>
      <x:c r="G12" s="24" t="n">
        <x:f>AVERAGEIFS('Alle Resultate'!$K$2:$K$161,'Alle Resultate'!$A$2:$A$161,G$8,'Alle Resultate'!$B$2:$B$161,$B12,'Alle Resultate'!$C$2:$C$161,$A12)</x:f>
        <x:v>0.3696658117816228</x:v>
      </x:c>
      <x:c r="H12" s="24" t="n">
        <x:f>AVERAGEIFS('Alle Resultate'!$K$2:$K$161,'Alle Resultate'!$A$2:$A$161,H$8,'Alle Resultate'!$B$2:$B$161,$B12,'Alle Resultate'!$C$2:$C$161,$A12)</x:f>
        <x:v>0.36930987451608394</x:v>
      </x:c>
      <x:c r="I12" s="24" t="n">
        <x:f>AVERAGEIFS('Alle Resultate'!$K$2:$K$161,'Alle Resultate'!$A$2:$A$161,I$8,'Alle Resultate'!$B$2:$B$161,$B12,'Alle Resultate'!$C$2:$C$161,$A12)</x:f>
        <x:v>0.3757739042378852</x:v>
      </x:c>
      <x:c r="J12" s="24" t="n">
        <x:f>AVERAGEIFS('Alle Resultate'!$K$2:$K$161,'Alle Resultate'!$A$2:$A$161,J$8,'Alle Resultate'!$B$2:$B$161,$B12,'Alle Resultate'!$C$2:$C$161,$A12)</x:f>
        <x:v>0.3761614376423262</x:v>
      </x:c>
      <x:c r="K12" s="69" t="n">
        <x:f>MAX(C12:J12)</x:f>
        <x:v>0.3761614376423262</x:v>
      </x:c>
      <x:c r="L12" s="70" t="str">
        <x:f>INDEX($C$8:$J$8,1,MATCH(K12,C12:J12,0))</x:f>
        <x:v>gaussian</x:v>
      </x:c>
    </x:row>
    <x:row r="13">
      <x:c r="A13" s="23" t="str">
        <x:v>cnn</x:v>
      </x:c>
      <x:c r="B13" s="23" t="str">
        <x:v>msms_neg</x:v>
      </x:c>
      <x:c r="C13" s="24" t="n">
        <x:f>AVERAGEIFS('Alle Resultate'!$K$2:$K$161,'Alle Resultate'!$A$2:$A$161,C$8,'Alle Resultate'!$B$2:$B$161,$B13,'Alle Resultate'!$C$2:$C$161,$A13)</x:f>
        <x:v>0.3802569647985055</x:v>
      </x:c>
      <x:c r="D13" s="24" t="n">
        <x:f>AVERAGEIFS('Alle Resultate'!$K$2:$K$161,'Alle Resultate'!$A$2:$A$161,D$8,'Alle Resultate'!$B$2:$B$161,$B13,'Alle Resultate'!$C$2:$C$161,$A13)</x:f>
        <x:v>0.3801543254939746</x:v>
      </x:c>
      <x:c r="E13" s="24" t="n">
        <x:f>AVERAGEIFS('Alle Resultate'!$K$2:$K$161,'Alle Resultate'!$A$2:$A$161,E$8,'Alle Resultate'!$B$2:$B$161,$B13,'Alle Resultate'!$C$2:$C$161,$A13)</x:f>
        <x:v>0.3740938224904846</x:v>
      </x:c>
      <x:c r="F13" s="24" t="n">
        <x:f>AVERAGEIFS('Alle Resultate'!$K$2:$K$161,'Alle Resultate'!$A$2:$A$161,F$8,'Alle Resultate'!$B$2:$B$161,$B13,'Alle Resultate'!$C$2:$C$161,$A13)</x:f>
        <x:v>0.36690948231352805</x:v>
      </x:c>
      <x:c r="G13" s="24" t="n">
        <x:f>AVERAGEIFS('Alle Resultate'!$K$2:$K$161,'Alle Resultate'!$A$2:$A$161,G$8,'Alle Resultate'!$B$2:$B$161,$B13,'Alle Resultate'!$C$2:$C$161,$A13)</x:f>
        <x:v>0.38288992410995404</x:v>
      </x:c>
      <x:c r="H13" s="24" t="n">
        <x:f>AVERAGEIFS('Alle Resultate'!$K$2:$K$161,'Alle Resultate'!$A$2:$A$161,H$8,'Alle Resultate'!$B$2:$B$161,$B13,'Alle Resultate'!$C$2:$C$161,$A13)</x:f>
        <x:v>0.37692749833740913</x:v>
      </x:c>
      <x:c r="I13" s="24" t="n">
        <x:f>AVERAGEIFS('Alle Resultate'!$K$2:$K$161,'Alle Resultate'!$A$2:$A$161,I$8,'Alle Resultate'!$B$2:$B$161,$B13,'Alle Resultate'!$C$2:$C$161,$A13)</x:f>
        <x:v>0.3815168577123688</x:v>
      </x:c>
      <x:c r="J13" s="24" t="n">
        <x:f>AVERAGEIFS('Alle Resultate'!$K$2:$K$161,'Alle Resultate'!$A$2:$A$161,J$8,'Alle Resultate'!$B$2:$B$161,$B13,'Alle Resultate'!$C$2:$C$161,$A13)</x:f>
        <x:v>0.3811721875950682</x:v>
      </x:c>
      <x:c r="K13" s="69" t="n">
        <x:f>MAX(C13:J13)</x:f>
        <x:v>0.38288992410995404</x:v>
      </x:c>
      <x:c r="L13" s="70" t="str">
        <x:f>INDEX($C$8:$J$8,1,MATCH(K13,C13:J13,0))</x:f>
        <x:v>area</x:v>
      </x:c>
    </x:row>
    <x:row r="14">
      <x:c r="A14" s="23" t="str">
        <x:v>xgboost</x:v>
      </x:c>
      <x:c r="B14" s="23" t="str">
        <x:v>cnmr</x:v>
      </x:c>
      <x:c r="C14" s="24" t="n">
        <x:f>AVERAGEIFS('Alle Resultate'!$K$2:$K$161,'Alle Resultate'!$A$2:$A$161,C$8,'Alle Resultate'!$B$2:$B$161,$B14,'Alle Resultate'!$C$2:$C$161,$A14)</x:f>
        <x:v>0.6040122922443155</x:v>
      </x:c>
      <x:c r="D14" s="24" t="n">
        <x:f>AVERAGEIFS('Alle Resultate'!$K$2:$K$161,'Alle Resultate'!$A$2:$A$161,D$8,'Alle Resultate'!$B$2:$B$161,$B14,'Alle Resultate'!$C$2:$C$161,$A14)</x:f>
        <x:v>0.5102367927912667</x:v>
      </x:c>
      <x:c r="E14" s="24" t="n">
        <x:f>AVERAGEIFS('Alle Resultate'!$K$2:$K$161,'Alle Resultate'!$A$2:$A$161,E$8,'Alle Resultate'!$B$2:$B$161,$B14,'Alle Resultate'!$C$2:$C$161,$A14)</x:f>
        <x:v>0.5660837575345407</x:v>
      </x:c>
      <x:c r="F14" s="24" t="n">
        <x:f>AVERAGEIFS('Alle Resultate'!$K$2:$K$161,'Alle Resultate'!$A$2:$A$161,F$8,'Alle Resultate'!$B$2:$B$161,$B14,'Alle Resultate'!$C$2:$C$161,$A14)</x:f>
        <x:v>0.5660837575345407</x:v>
      </x:c>
      <x:c r="G14" s="24" t="n">
        <x:f>AVERAGEIFS('Alle Resultate'!$K$2:$K$161,'Alle Resultate'!$A$2:$A$161,G$8,'Alle Resultate'!$B$2:$B$161,$B14,'Alle Resultate'!$C$2:$C$161,$A14)</x:f>
        <x:v>0.5680857222778368</x:v>
      </x:c>
      <x:c r="H14" s="24" t="n">
        <x:f>AVERAGEIFS('Alle Resultate'!$K$2:$K$161,'Alle Resultate'!$A$2:$A$161,H$8,'Alle Resultate'!$B$2:$B$161,$B14,'Alle Resultate'!$C$2:$C$161,$A14)</x:f>
        <x:v>0.5654353970977458</x:v>
      </x:c>
      <x:c r="I14" s="24" t="n">
        <x:f>AVERAGEIFS('Alle Resultate'!$K$2:$K$161,'Alle Resultate'!$A$2:$A$161,I$8,'Alle Resultate'!$B$2:$B$161,$B14,'Alle Resultate'!$C$2:$C$161,$A14)</x:f>
        <x:v>0.5716999744133549</x:v>
      </x:c>
      <x:c r="J14" s="24" t="n">
        <x:f>AVERAGEIFS('Alle Resultate'!$K$2:$K$161,'Alle Resultate'!$A$2:$A$161,J$8,'Alle Resultate'!$B$2:$B$161,$B14,'Alle Resultate'!$C$2:$C$161,$A14)</x:f>
        <x:v>0.5873423447423478</x:v>
      </x:c>
      <x:c r="K14" s="69" t="n">
        <x:f>MAX(C14:J14)</x:f>
        <x:v>0.6040122922443155</x:v>
      </x:c>
      <x:c r="L14" s="70" t="str">
        <x:f>INDEX($C$8:$J$8,1,MATCH(K14,C14:J14,0))</x:f>
        <x:v>none</x:v>
      </x:c>
    </x:row>
    <x:row r="15">
      <x:c r="A15" s="23" t="str">
        <x:v>xgboost</x:v>
      </x:c>
      <x:c r="B15" s="23" t="str">
        <x:v>hnmr</x:v>
      </x:c>
      <x:c r="C15" s="24" t="n">
        <x:f>AVERAGEIFS('Alle Resultate'!$K$2:$K$161,'Alle Resultate'!$A$2:$A$161,C$8,'Alle Resultate'!$B$2:$B$161,$B15,'Alle Resultate'!$C$2:$C$161,$A15)</x:f>
        <x:v>0.5705394702961893</x:v>
      </x:c>
      <x:c r="D15" s="24" t="n">
        <x:f>AVERAGEIFS('Alle Resultate'!$K$2:$K$161,'Alle Resultate'!$A$2:$A$161,D$8,'Alle Resultate'!$B$2:$B$161,$B15,'Alle Resultate'!$C$2:$C$161,$A15)</x:f>
        <x:v>0.5085644301764749</x:v>
      </x:c>
      <x:c r="E15" s="24" t="n">
        <x:f>AVERAGEIFS('Alle Resultate'!$K$2:$K$161,'Alle Resultate'!$A$2:$A$161,E$8,'Alle Resultate'!$B$2:$B$161,$B15,'Alle Resultate'!$C$2:$C$161,$A15)</x:f>
        <x:v>0.5330146413961501</x:v>
      </x:c>
      <x:c r="F15" s="24" t="n">
        <x:f>AVERAGEIFS('Alle Resultate'!$K$2:$K$161,'Alle Resultate'!$A$2:$A$161,F$8,'Alle Resultate'!$B$2:$B$161,$B15,'Alle Resultate'!$C$2:$C$161,$A15)</x:f>
        <x:v>0.5330146413961501</x:v>
      </x:c>
      <x:c r="G15" s="24" t="n">
        <x:f>AVERAGEIFS('Alle Resultate'!$K$2:$K$161,'Alle Resultate'!$A$2:$A$161,G$8,'Alle Resultate'!$B$2:$B$161,$B15,'Alle Resultate'!$C$2:$C$161,$A15)</x:f>
        <x:v>0.5353980139267787</x:v>
      </x:c>
      <x:c r="H15" s="24" t="n">
        <x:f>AVERAGEIFS('Alle Resultate'!$K$2:$K$161,'Alle Resultate'!$A$2:$A$161,H$8,'Alle Resultate'!$B$2:$B$161,$B15,'Alle Resultate'!$C$2:$C$161,$A15)</x:f>
        <x:v>0.5347951233353854</x:v>
      </x:c>
      <x:c r="I15" s="24" t="n">
        <x:f>AVERAGEIFS('Alle Resultate'!$K$2:$K$161,'Alle Resultate'!$A$2:$A$161,I$8,'Alle Resultate'!$B$2:$B$161,$B15,'Alle Resultate'!$C$2:$C$161,$A15)</x:f>
        <x:v>0.54451765708202</x:v>
      </x:c>
      <x:c r="J15" s="24" t="n">
        <x:f>AVERAGEIFS('Alle Resultate'!$K$2:$K$161,'Alle Resultate'!$A$2:$A$161,J$8,'Alle Resultate'!$B$2:$B$161,$B15,'Alle Resultate'!$C$2:$C$161,$A15)</x:f>
        <x:v>0.5559151458935069</x:v>
      </x:c>
      <x:c r="K15" s="69" t="n">
        <x:f>MAX(C15:J15)</x:f>
        <x:v>0.5705394702961893</x:v>
      </x:c>
      <x:c r="L15" s="70" t="str">
        <x:f>INDEX($C$8:$J$8,1,MATCH(K15,C15:J15,0))</x:f>
        <x:v>none</x:v>
      </x:c>
    </x:row>
    <x:row r="16">
      <x:c r="A16" s="23" t="str">
        <x:v>xgboost</x:v>
      </x:c>
      <x:c r="B16" s="23" t="str">
        <x:v>ir</x:v>
      </x:c>
      <x:c r="C16" s="24" t="n">
        <x:f>AVERAGEIFS('Alle Resultate'!$K$2:$K$161,'Alle Resultate'!$A$2:$A$161,C$8,'Alle Resultate'!$B$2:$B$161,$B16,'Alle Resultate'!$C$2:$C$161,$A16)</x:f>
        <x:v>0.6892911213206729</x:v>
      </x:c>
      <x:c r="D16" s="24" t="n">
        <x:f>AVERAGEIFS('Alle Resultate'!$K$2:$K$161,'Alle Resultate'!$A$2:$A$161,D$8,'Alle Resultate'!$B$2:$B$161,$B16,'Alle Resultate'!$C$2:$C$161,$A16)</x:f>
        <x:v>0.7025772799677499</x:v>
      </x:c>
      <x:c r="E16" s="24" t="n">
        <x:f>AVERAGEIFS('Alle Resultate'!$K$2:$K$161,'Alle Resultate'!$A$2:$A$161,E$8,'Alle Resultate'!$B$2:$B$161,$B16,'Alle Resultate'!$C$2:$C$161,$A16)</x:f>
        <x:v>0.675942378769056</x:v>
      </x:c>
      <x:c r="F16" s="24" t="n">
        <x:f>AVERAGEIFS('Alle Resultate'!$K$2:$K$161,'Alle Resultate'!$A$2:$A$161,F$8,'Alle Resultate'!$B$2:$B$161,$B16,'Alle Resultate'!$C$2:$C$161,$A16)</x:f>
        <x:v>0.6893591988723262</x:v>
      </x:c>
      <x:c r="G16" s="24" t="n">
        <x:f>AVERAGEIFS('Alle Resultate'!$K$2:$K$161,'Alle Resultate'!$A$2:$A$161,G$8,'Alle Resultate'!$B$2:$B$161,$B16,'Alle Resultate'!$C$2:$C$161,$A16)</x:f>
        <x:v>0.7066736131319804</x:v>
      </x:c>
      <x:c r="H16" s="24" t="n">
        <x:f>AVERAGEIFS('Alle Resultate'!$K$2:$K$161,'Alle Resultate'!$A$2:$A$161,H$8,'Alle Resultate'!$B$2:$B$161,$B16,'Alle Resultate'!$C$2:$C$161,$A16)</x:f>
        <x:v>0.6983257991295866</x:v>
      </x:c>
      <x:c r="I16" s="24" t="n">
        <x:f>AVERAGEIFS('Alle Resultate'!$K$2:$K$161,'Alle Resultate'!$A$2:$A$161,I$8,'Alle Resultate'!$B$2:$B$161,$B16,'Alle Resultate'!$C$2:$C$161,$A16)</x:f>
        <x:v>0.6969650918065631</x:v>
      </x:c>
      <x:c r="J16" s="24" t="n">
        <x:f>AVERAGEIFS('Alle Resultate'!$K$2:$K$161,'Alle Resultate'!$A$2:$A$161,J$8,'Alle Resultate'!$B$2:$B$161,$B16,'Alle Resultate'!$C$2:$C$161,$A16)</x:f>
        <x:v>0.6984433560615264</x:v>
      </x:c>
      <x:c r="K16" s="69" t="n">
        <x:f>MAX(C16:J16)</x:f>
        <x:v>0.7066736131319804</x:v>
      </x:c>
      <x:c r="L16" s="70" t="str">
        <x:f>INDEX($C$8:$J$8,1,MATCH(K16,C16:J16,0))</x:f>
        <x:v>area</x:v>
      </x:c>
    </x:row>
    <x:row r="17">
      <x:c r="A17" s="23" t="str">
        <x:v>xgboost</x:v>
      </x:c>
      <x:c r="B17" s="23" t="str">
        <x:v>msms_pos</x:v>
      </x:c>
      <x:c r="C17" s="24" t="n">
        <x:f>AVERAGEIFS('Alle Resultate'!$K$2:$K$161,'Alle Resultate'!$A$2:$A$161,C$8,'Alle Resultate'!$B$2:$B$161,$B17,'Alle Resultate'!$C$2:$C$161,$A17)</x:f>
        <x:v>0.369747514877536</x:v>
      </x:c>
      <x:c r="D17" s="24" t="n">
        <x:f>AVERAGEIFS('Alle Resultate'!$K$2:$K$161,'Alle Resultate'!$A$2:$A$161,D$8,'Alle Resultate'!$B$2:$B$161,$B17,'Alle Resultate'!$C$2:$C$161,$A17)</x:f>
        <x:v>0.3694806517787846</x:v>
      </x:c>
      <x:c r="E17" s="24" t="n">
        <x:f>AVERAGEIFS('Alle Resultate'!$K$2:$K$161,'Alle Resultate'!$A$2:$A$161,E$8,'Alle Resultate'!$B$2:$B$161,$B17,'Alle Resultate'!$C$2:$C$161,$A17)</x:f>
        <x:v>0.3666041074445703</x:v>
      </x:c>
      <x:c r="F17" s="24" t="n">
        <x:f>AVERAGEIFS('Alle Resultate'!$K$2:$K$161,'Alle Resultate'!$A$2:$A$161,F$8,'Alle Resultate'!$B$2:$B$161,$B17,'Alle Resultate'!$C$2:$C$161,$A17)</x:f>
        <x:v>0.3666041074445703</x:v>
      </x:c>
      <x:c r="G17" s="24" t="n">
        <x:f>AVERAGEIFS('Alle Resultate'!$K$2:$K$161,'Alle Resultate'!$A$2:$A$161,G$8,'Alle Resultate'!$B$2:$B$161,$B17,'Alle Resultate'!$C$2:$C$161,$A17)</x:f>
        <x:v>0.36673199924840033</x:v>
      </x:c>
      <x:c r="H17" s="24" t="n">
        <x:f>AVERAGEIFS('Alle Resultate'!$K$2:$K$161,'Alle Resultate'!$A$2:$A$161,H$8,'Alle Resultate'!$B$2:$B$161,$B17,'Alle Resultate'!$C$2:$C$161,$A17)</x:f>
        <x:v>0.3663240546018358</x:v>
      </x:c>
      <x:c r="I17" s="24" t="n">
        <x:f>AVERAGEIFS('Alle Resultate'!$K$2:$K$161,'Alle Resultate'!$A$2:$A$161,I$8,'Alle Resultate'!$B$2:$B$161,$B17,'Alle Resultate'!$C$2:$C$161,$A17)</x:f>
        <x:v>0.3756832021527897</x:v>
      </x:c>
      <x:c r="J17" s="24" t="n">
        <x:f>AVERAGEIFS('Alle Resultate'!$K$2:$K$161,'Alle Resultate'!$A$2:$A$161,J$8,'Alle Resultate'!$B$2:$B$161,$B17,'Alle Resultate'!$C$2:$C$161,$A17)</x:f>
        <x:v>0.3745464208433366</x:v>
      </x:c>
      <x:c r="K17" s="69" t="n">
        <x:f>MAX(C17:J17)</x:f>
        <x:v>0.3756832021527897</x:v>
      </x:c>
      <x:c r="L17" s="70" t="str">
        <x:f>INDEX($C$8:$J$8,1,MATCH(K17,C17:J17,0))</x:f>
        <x:v>savgol</x:v>
      </x:c>
    </x:row>
    <x:row r="18">
      <x:c r="A18" s="23" t="str">
        <x:v>xgboost</x:v>
      </x:c>
      <x:c r="B18" s="23" t="str">
        <x:v>msms_neg</x:v>
      </x:c>
      <x:c r="C18" s="24" t="n">
        <x:f>AVERAGEIFS('Alle Resultate'!$K$2:$K$161,'Alle Resultate'!$A$2:$A$161,C$8,'Alle Resultate'!$B$2:$B$161,$B18,'Alle Resultate'!$C$2:$C$161,$A18)</x:f>
        <x:v>0.36871176400768524</x:v>
      </x:c>
      <x:c r="D18" s="24" t="n">
        <x:f>AVERAGEIFS('Alle Resultate'!$K$2:$K$161,'Alle Resultate'!$A$2:$A$161,D$8,'Alle Resultate'!$B$2:$B$161,$B18,'Alle Resultate'!$C$2:$C$161,$A18)</x:f>
        <x:v>0.3744004625787091</x:v>
      </x:c>
      <x:c r="E18" s="24" t="n">
        <x:f>AVERAGEIFS('Alle Resultate'!$K$2:$K$161,'Alle Resultate'!$A$2:$A$161,E$8,'Alle Resultate'!$B$2:$B$161,$B18,'Alle Resultate'!$C$2:$C$161,$A18)</x:f>
        <x:v>0.36518897943743467</x:v>
      </x:c>
      <x:c r="F18" s="24" t="n">
        <x:f>AVERAGEIFS('Alle Resultate'!$K$2:$K$161,'Alle Resultate'!$A$2:$A$161,F$8,'Alle Resultate'!$B$2:$B$161,$B18,'Alle Resultate'!$C$2:$C$161,$A18)</x:f>
        <x:v>0.36518897943743467</x:v>
      </x:c>
      <x:c r="G18" s="24" t="n">
        <x:f>AVERAGEIFS('Alle Resultate'!$K$2:$K$161,'Alle Resultate'!$A$2:$A$161,G$8,'Alle Resultate'!$B$2:$B$161,$B18,'Alle Resultate'!$C$2:$C$161,$A18)</x:f>
        <x:v>0.36590055880476174</x:v>
      </x:c>
      <x:c r="H18" s="24" t="n">
        <x:f>AVERAGEIFS('Alle Resultate'!$K$2:$K$161,'Alle Resultate'!$A$2:$A$161,H$8,'Alle Resultate'!$B$2:$B$161,$B18,'Alle Resultate'!$C$2:$C$161,$A18)</x:f>
        <x:v>0.3658957507966176</x:v>
      </x:c>
      <x:c r="I18" s="24" t="n">
        <x:f>AVERAGEIFS('Alle Resultate'!$K$2:$K$161,'Alle Resultate'!$A$2:$A$161,I$8,'Alle Resultate'!$B$2:$B$161,$B18,'Alle Resultate'!$C$2:$C$161,$A18)</x:f>
        <x:v>0.3827450349276508</x:v>
      </x:c>
      <x:c r="J18" s="24" t="n">
        <x:f>AVERAGEIFS('Alle Resultate'!$K$2:$K$161,'Alle Resultate'!$A$2:$A$161,J$8,'Alle Resultate'!$B$2:$B$161,$B18,'Alle Resultate'!$C$2:$C$161,$A18)</x:f>
        <x:v>0.3815015615639196</x:v>
      </x:c>
      <x:c r="K18" s="69" t="n">
        <x:f>MAX(C18:J18)</x:f>
        <x:v>0.3827450349276508</x:v>
      </x:c>
      <x:c r="L18" s="70" t="str">
        <x:f>INDEX($C$8:$J$8,1,MATCH(K18,C18:J18,0))</x:f>
        <x:v>savgol</x:v>
      </x:c>
    </x:row>
    <x:row r="19">
      <x:c r="A19" s="23" t="str">
        <x:v>mps</x:v>
      </x:c>
      <x:c r="B19" s="23" t="str">
        <x:v>cnmr</x:v>
      </x:c>
      <x:c r="C19" s="24" t="n">
        <x:f>AVERAGEIFS('Alle Resultate'!$K$2:$K$161,'Alle Resultate'!$A$2:$A$161,C$8,'Alle Resultate'!$B$2:$B$161,$B19,'Alle Resultate'!$C$2:$C$161,$A19)</x:f>
        <x:v>0.48815</x:v>
      </x:c>
      <x:c r="D19" s="24" t="n">
        <x:f>AVERAGEIFS('Alle Resultate'!$K$2:$K$161,'Alle Resultate'!$A$2:$A$161,D$8,'Alle Resultate'!$B$2:$B$161,$B19,'Alle Resultate'!$C$2:$C$161,$A19)</x:f>
        <x:v>0.5456</x:v>
      </x:c>
      <x:c r="E19" s="24" t="n">
        <x:f>AVERAGEIFS('Alle Resultate'!$K$2:$K$161,'Alle Resultate'!$A$2:$A$161,E$8,'Alle Resultate'!$B$2:$B$161,$B19,'Alle Resultate'!$C$2:$C$161,$A19)</x:f>
        <x:v>0.5088</x:v>
      </x:c>
      <x:c r="F19" s="24" t="n">
        <x:f>AVERAGEIFS('Alle Resultate'!$K$2:$K$161,'Alle Resultate'!$A$2:$A$161,F$8,'Alle Resultate'!$B$2:$B$161,$B19,'Alle Resultate'!$C$2:$C$161,$A19)</x:f>
        <x:v>0.5088</x:v>
      </x:c>
      <x:c r="G19" s="24" t="n">
        <x:f>AVERAGEIFS('Alle Resultate'!$K$2:$K$161,'Alle Resultate'!$A$2:$A$161,G$8,'Alle Resultate'!$B$2:$B$161,$B19,'Alle Resultate'!$C$2:$C$161,$A19)</x:f>
        <x:v>0.5039</x:v>
      </x:c>
      <x:c r="H19" s="24" t="n">
        <x:f>AVERAGEIFS('Alle Resultate'!$K$2:$K$161,'Alle Resultate'!$A$2:$A$161,H$8,'Alle Resultate'!$B$2:$B$161,$B19,'Alle Resultate'!$C$2:$C$161,$A19)</x:f>
        <x:v>0.51555</x:v>
      </x:c>
      <x:c r="I19" s="24" t="n">
        <x:f>AVERAGEIFS('Alle Resultate'!$K$2:$K$161,'Alle Resultate'!$A$2:$A$161,I$8,'Alle Resultate'!$B$2:$B$161,$B19,'Alle Resultate'!$C$2:$C$161,$A19)</x:f>
        <x:v>0.4412</x:v>
      </x:c>
      <x:c r="J19" s="24" t="n">
        <x:f>AVERAGEIFS('Alle Resultate'!$K$2:$K$161,'Alle Resultate'!$A$2:$A$161,J$8,'Alle Resultate'!$B$2:$B$161,$B19,'Alle Resultate'!$C$2:$C$161,$A19)</x:f>
        <x:v>0.4515</x:v>
      </x:c>
      <x:c r="K19" s="69" t="n">
        <x:f>MAX(C19:J19)</x:f>
        <x:v>0.5456</x:v>
      </x:c>
      <x:c r="L19" s="70" t="str">
        <x:f>INDEX($C$8:$J$8,1,MATCH(K19,C19:J19,0))</x:f>
        <x:v>snv</x:v>
      </x:c>
    </x:row>
    <x:row r="20">
      <x:c r="A20" s="23" t="str">
        <x:v>mps</x:v>
      </x:c>
      <x:c r="B20" s="23" t="str">
        <x:v>hnmr</x:v>
      </x:c>
      <x:c r="C20" s="24" t="n">
        <x:f>AVERAGEIFS('Alle Resultate'!$K$2:$K$161,'Alle Resultate'!$A$2:$A$161,C$8,'Alle Resultate'!$B$2:$B$161,$B20,'Alle Resultate'!$C$2:$C$161,$A20)</x:f>
        <x:v>0.5349</x:v>
      </x:c>
      <x:c r="D20" s="24" t="n">
        <x:f>AVERAGEIFS('Alle Resultate'!$K$2:$K$161,'Alle Resultate'!$A$2:$A$161,D$8,'Alle Resultate'!$B$2:$B$161,$B20,'Alle Resultate'!$C$2:$C$161,$A20)</x:f>
        <x:v>0.548</x:v>
      </x:c>
      <x:c r="E20" s="24" t="n">
        <x:f>AVERAGEIFS('Alle Resultate'!$K$2:$K$161,'Alle Resultate'!$A$2:$A$161,E$8,'Alle Resultate'!$B$2:$B$161,$B20,'Alle Resultate'!$C$2:$C$161,$A20)</x:f>
        <x:v>0.5365500000000001</x:v>
      </x:c>
      <x:c r="F20" s="24" t="n">
        <x:f>AVERAGEIFS('Alle Resultate'!$K$2:$K$161,'Alle Resultate'!$A$2:$A$161,F$8,'Alle Resultate'!$B$2:$B$161,$B20,'Alle Resultate'!$C$2:$C$161,$A20)</x:f>
        <x:v>0.5365500000000001</x:v>
      </x:c>
      <x:c r="G20" s="24" t="n">
        <x:f>AVERAGEIFS('Alle Resultate'!$K$2:$K$161,'Alle Resultate'!$A$2:$A$161,G$8,'Alle Resultate'!$B$2:$B$161,$B20,'Alle Resultate'!$C$2:$C$161,$A20)</x:f>
        <x:v>0.53605</x:v>
      </x:c>
      <x:c r="H20" s="24" t="n">
        <x:f>AVERAGEIFS('Alle Resultate'!$K$2:$K$161,'Alle Resultate'!$A$2:$A$161,H$8,'Alle Resultate'!$B$2:$B$161,$B20,'Alle Resultate'!$C$2:$C$161,$A20)</x:f>
        <x:v>0.5379</x:v>
      </x:c>
      <x:c r="I20" s="24" t="n">
        <x:f>AVERAGEIFS('Alle Resultate'!$K$2:$K$161,'Alle Resultate'!$A$2:$A$161,I$8,'Alle Resultate'!$B$2:$B$161,$B20,'Alle Resultate'!$C$2:$C$161,$A20)</x:f>
        <x:v>0.4821</x:v>
      </x:c>
      <x:c r="J20" s="24" t="n">
        <x:f>AVERAGEIFS('Alle Resultate'!$K$2:$K$161,'Alle Resultate'!$A$2:$A$161,J$8,'Alle Resultate'!$B$2:$B$161,$B20,'Alle Resultate'!$C$2:$C$161,$A20)</x:f>
        <x:v>0.48650000000000004</x:v>
      </x:c>
      <x:c r="K20" s="69" t="n">
        <x:f>MAX(C20:J20)</x:f>
        <x:v>0.548</x:v>
      </x:c>
      <x:c r="L20" s="70" t="str">
        <x:f>INDEX($C$8:$J$8,1,MATCH(K20,C20:J20,0))</x:f>
        <x:v>snv</x:v>
      </x:c>
    </x:row>
    <x:row r="21">
      <x:c r="A21" s="23" t="str">
        <x:v>mps</x:v>
      </x:c>
      <x:c r="B21" s="23" t="str">
        <x:v>ir</x:v>
      </x:c>
      <x:c r="C21" s="24" t="n">
        <x:f>AVERAGEIFS('Alle Resultate'!$K$2:$K$161,'Alle Resultate'!$A$2:$A$161,C$8,'Alle Resultate'!$B$2:$B$161,$B21,'Alle Resultate'!$C$2:$C$161,$A21)</x:f>
        <x:v>0.76035</x:v>
      </x:c>
      <x:c r="D21" s="24" t="n">
        <x:f>AVERAGEIFS('Alle Resultate'!$K$2:$K$161,'Alle Resultate'!$A$2:$A$161,D$8,'Alle Resultate'!$B$2:$B$161,$B21,'Alle Resultate'!$C$2:$C$161,$A21)</x:f>
        <x:v>0.7542</x:v>
      </x:c>
      <x:c r="E21" s="24" t="n">
        <x:f>AVERAGEIFS('Alle Resultate'!$K$2:$K$161,'Alle Resultate'!$A$2:$A$161,E$8,'Alle Resultate'!$B$2:$B$161,$B21,'Alle Resultate'!$C$2:$C$161,$A21)</x:f>
        <x:v>0.7572</x:v>
      </x:c>
      <x:c r="F21" s="24" t="n">
        <x:f>AVERAGEIFS('Alle Resultate'!$K$2:$K$161,'Alle Resultate'!$A$2:$A$161,F$8,'Alle Resultate'!$B$2:$B$161,$B21,'Alle Resultate'!$C$2:$C$161,$A21)</x:f>
        <x:v>0.75865</x:v>
      </x:c>
      <x:c r="G21" s="24" t="n">
        <x:f>AVERAGEIFS('Alle Resultate'!$K$2:$K$161,'Alle Resultate'!$A$2:$A$161,G$8,'Alle Resultate'!$B$2:$B$161,$B21,'Alle Resultate'!$C$2:$C$161,$A21)</x:f>
        <x:v>0.7698</x:v>
      </x:c>
      <x:c r="H21" s="24" t="n">
        <x:f>AVERAGEIFS('Alle Resultate'!$K$2:$K$161,'Alle Resultate'!$A$2:$A$161,H$8,'Alle Resultate'!$B$2:$B$161,$B21,'Alle Resultate'!$C$2:$C$161,$A21)</x:f>
        <x:v>0.75945</x:v>
      </x:c>
      <x:c r="I21" s="24" t="n">
        <x:f>AVERAGEIFS('Alle Resultate'!$K$2:$K$161,'Alle Resultate'!$A$2:$A$161,I$8,'Alle Resultate'!$B$2:$B$161,$B21,'Alle Resultate'!$C$2:$C$161,$A21)</x:f>
        <x:v>0.7565999999999999</x:v>
      </x:c>
      <x:c r="J21" s="24" t="n">
        <x:f>AVERAGEIFS('Alle Resultate'!$K$2:$K$161,'Alle Resultate'!$A$2:$A$161,J$8,'Alle Resultate'!$B$2:$B$161,$B21,'Alle Resultate'!$C$2:$C$161,$A21)</x:f>
        <x:v>0.7787999999999999</x:v>
      </x:c>
      <x:c r="K21" s="69" t="n">
        <x:f>MAX(C21:J21)</x:f>
        <x:v>0.7787999999999999</x:v>
      </x:c>
      <x:c r="L21" s="70" t="str">
        <x:f>INDEX($C$8:$J$8,1,MATCH(K21,C21:J21,0))</x:f>
        <x:v>gaussian</x:v>
      </x:c>
    </x:row>
    <x:row r="22">
      <x:c r="A22" s="23" t="str">
        <x:v>mps</x:v>
      </x:c>
      <x:c r="B22" s="23" t="str">
        <x:v>msms_pos</x:v>
      </x:c>
      <x:c r="C22" s="24" t="n">
        <x:f>AVERAGEIFS('Alle Resultate'!$K$2:$K$161,'Alle Resultate'!$A$2:$A$161,C$8,'Alle Resultate'!$B$2:$B$161,$B22,'Alle Resultate'!$C$2:$C$161,$A22)</x:f>
        <x:v>0.22885</x:v>
      </x:c>
      <x:c r="D22" s="24" t="n">
        <x:f>AVERAGEIFS('Alle Resultate'!$K$2:$K$161,'Alle Resultate'!$A$2:$A$161,D$8,'Alle Resultate'!$B$2:$B$161,$B22,'Alle Resultate'!$C$2:$C$161,$A22)</x:f>
        <x:v>0.2374</x:v>
      </x:c>
      <x:c r="E22" s="24" t="n">
        <x:f>AVERAGEIFS('Alle Resultate'!$K$2:$K$161,'Alle Resultate'!$A$2:$A$161,E$8,'Alle Resultate'!$B$2:$B$161,$B22,'Alle Resultate'!$C$2:$C$161,$A22)</x:f>
        <x:v>0.2331</x:v>
      </x:c>
      <x:c r="F22" s="24" t="n">
        <x:f>AVERAGEIFS('Alle Resultate'!$K$2:$K$161,'Alle Resultate'!$A$2:$A$161,F$8,'Alle Resultate'!$B$2:$B$161,$B22,'Alle Resultate'!$C$2:$C$161,$A22)</x:f>
        <x:v>0.2331</x:v>
      </x:c>
      <x:c r="G22" s="24" t="n">
        <x:f>AVERAGEIFS('Alle Resultate'!$K$2:$K$161,'Alle Resultate'!$A$2:$A$161,G$8,'Alle Resultate'!$B$2:$B$161,$B22,'Alle Resultate'!$C$2:$C$161,$A22)</x:f>
        <x:v>0.23054999999999998</x:v>
      </x:c>
      <x:c r="H22" s="24" t="n">
        <x:f>AVERAGEIFS('Alle Resultate'!$K$2:$K$161,'Alle Resultate'!$A$2:$A$161,H$8,'Alle Resultate'!$B$2:$B$161,$B22,'Alle Resultate'!$C$2:$C$161,$A22)</x:f>
        <x:v>0.23645</x:v>
      </x:c>
      <x:c r="I22" s="24" t="n">
        <x:f>AVERAGEIFS('Alle Resultate'!$K$2:$K$161,'Alle Resultate'!$A$2:$A$161,I$8,'Alle Resultate'!$B$2:$B$161,$B22,'Alle Resultate'!$C$2:$C$161,$A22)</x:f>
        <x:v>0.2364</x:v>
      </x:c>
      <x:c r="J22" s="24" t="n">
        <x:f>AVERAGEIFS('Alle Resultate'!$K$2:$K$161,'Alle Resultate'!$A$2:$A$161,J$8,'Alle Resultate'!$B$2:$B$161,$B22,'Alle Resultate'!$C$2:$C$161,$A22)</x:f>
        <x:v>0.22885</x:v>
      </x:c>
      <x:c r="K22" s="69" t="n">
        <x:f>MAX(C22:J22)</x:f>
        <x:v>0.2374</x:v>
      </x:c>
      <x:c r="L22" s="70" t="str">
        <x:f>INDEX($C$8:$J$8,1,MATCH(K22,C22:J22,0))</x:f>
        <x:v>snv</x:v>
      </x:c>
    </x:row>
    <x:row r="23">
      <x:c r="A23" s="23" t="str">
        <x:v>mps</x:v>
      </x:c>
      <x:c r="B23" s="23" t="str">
        <x:v>msms_neg</x:v>
      </x:c>
      <x:c r="C23" s="24" t="n">
        <x:f>AVERAGEIFS('Alle Resultate'!$K$2:$K$161,'Alle Resultate'!$A$2:$A$161,C$8,'Alle Resultate'!$B$2:$B$161,$B23,'Alle Resultate'!$C$2:$C$161,$A23)</x:f>
        <x:v>0.22485</x:v>
      </x:c>
      <x:c r="D23" s="24" t="n">
        <x:f>AVERAGEIFS('Alle Resultate'!$K$2:$K$161,'Alle Resultate'!$A$2:$A$161,D$8,'Alle Resultate'!$B$2:$B$161,$B23,'Alle Resultate'!$C$2:$C$161,$A23)</x:f>
        <x:v>0.23399999999999999</x:v>
      </x:c>
      <x:c r="E23" s="24" t="n">
        <x:f>AVERAGEIFS('Alle Resultate'!$K$2:$K$161,'Alle Resultate'!$A$2:$A$161,E$8,'Alle Resultate'!$B$2:$B$161,$B23,'Alle Resultate'!$C$2:$C$161,$A23)</x:f>
        <x:v>0.23275</x:v>
      </x:c>
      <x:c r="F23" s="24" t="n">
        <x:f>AVERAGEIFS('Alle Resultate'!$K$2:$K$161,'Alle Resultate'!$A$2:$A$161,F$8,'Alle Resultate'!$B$2:$B$161,$B23,'Alle Resultate'!$C$2:$C$161,$A23)</x:f>
        <x:v>0.23275</x:v>
      </x:c>
      <x:c r="G23" s="24" t="n">
        <x:f>AVERAGEIFS('Alle Resultate'!$K$2:$K$161,'Alle Resultate'!$A$2:$A$161,G$8,'Alle Resultate'!$B$2:$B$161,$B23,'Alle Resultate'!$C$2:$C$161,$A23)</x:f>
        <x:v>0.227</x:v>
      </x:c>
      <x:c r="H23" s="24" t="n">
        <x:f>AVERAGEIFS('Alle Resultate'!$K$2:$K$161,'Alle Resultate'!$A$2:$A$161,H$8,'Alle Resultate'!$B$2:$B$161,$B23,'Alle Resultate'!$C$2:$C$161,$A23)</x:f>
        <x:v>0.22965000000000002</x:v>
      </x:c>
      <x:c r="I23" s="24" t="n">
        <x:f>AVERAGEIFS('Alle Resultate'!$K$2:$K$161,'Alle Resultate'!$A$2:$A$161,I$8,'Alle Resultate'!$B$2:$B$161,$B23,'Alle Resultate'!$C$2:$C$161,$A23)</x:f>
        <x:v>0.22575</x:v>
      </x:c>
      <x:c r="J23" s="24" t="n">
        <x:f>AVERAGEIFS('Alle Resultate'!$K$2:$K$161,'Alle Resultate'!$A$2:$A$161,J$8,'Alle Resultate'!$B$2:$B$161,$B23,'Alle Resultate'!$C$2:$C$161,$A23)</x:f>
        <x:v>0.2319</x:v>
      </x:c>
      <x:c r="K23" s="69" t="n">
        <x:f>MAX(C23:J23)</x:f>
        <x:v>0.23399999999999999</x:v>
      </x:c>
      <x:c r="L23" s="70" t="str">
        <x:f>INDEX($C$8:$J$8,1,MATCH(K23,C23:J23,0))</x:f>
        <x:v>snv</x:v>
      </x:c>
    </x:row>
    <x:row r="24">
      <x:c r="A24" s="23" t="str">
        <x:v>ttn</x:v>
      </x:c>
      <x:c r="B24" s="23" t="str">
        <x:v>cnmr</x:v>
      </x:c>
      <x:c r="C24" s="24" t="n">
        <x:f>AVERAGEIFS('Alle Resultate'!$K$2:$K$161,'Alle Resultate'!$A$2:$A$161,C$8,'Alle Resultate'!$B$2:$B$161,$B24,'Alle Resultate'!$C$2:$C$161,$A24)</x:f>
        <x:v>0.5233637726924456</x:v>
      </x:c>
      <x:c r="D24" s="24" t="n">
        <x:f>AVERAGEIFS('Alle Resultate'!$K$2:$K$161,'Alle Resultate'!$A$2:$A$161,D$8,'Alle Resultate'!$B$2:$B$161,$B24,'Alle Resultate'!$C$2:$C$161,$A24)</x:f>
        <x:v>0.5255396760126209</x:v>
      </x:c>
      <x:c r="E24" s="24" t="n">
        <x:f>AVERAGEIFS('Alle Resultate'!$K$2:$K$161,'Alle Resultate'!$A$2:$A$161,E$8,'Alle Resultate'!$B$2:$B$161,$B24,'Alle Resultate'!$C$2:$C$161,$A24)</x:f>
        <x:v>0.5238973696382834</x:v>
      </x:c>
      <x:c r="F24" s="24" t="n">
        <x:f>AVERAGEIFS('Alle Resultate'!$K$2:$K$161,'Alle Resultate'!$A$2:$A$161,F$8,'Alle Resultate'!$B$2:$B$161,$B24,'Alle Resultate'!$C$2:$C$161,$A24)</x:f>
        <x:v>0.5238973696382834</x:v>
      </x:c>
      <x:c r="G24" s="24" t="n">
        <x:f>AVERAGEIFS('Alle Resultate'!$K$2:$K$161,'Alle Resultate'!$A$2:$A$161,G$8,'Alle Resultate'!$B$2:$B$161,$B24,'Alle Resultate'!$C$2:$C$161,$A24)</x:f>
        <x:v>0.526039734340279</x:v>
      </x:c>
      <x:c r="H24" s="24" t="n">
        <x:f>AVERAGEIFS('Alle Resultate'!$K$2:$K$161,'Alle Resultate'!$A$2:$A$161,H$8,'Alle Resultate'!$B$2:$B$161,$B24,'Alle Resultate'!$C$2:$C$161,$A24)</x:f>
        <x:v>0.5278723686728386</x:v>
      </x:c>
      <x:c r="I24" s="24" t="n">
        <x:f>AVERAGEIFS('Alle Resultate'!$K$2:$K$161,'Alle Resultate'!$A$2:$A$161,I$8,'Alle Resultate'!$B$2:$B$161,$B24,'Alle Resultate'!$C$2:$C$161,$A24)</x:f>
        <x:v>0.5207578087805024</x:v>
      </x:c>
      <x:c r="J24" s="24" t="n">
        <x:f>AVERAGEIFS('Alle Resultate'!$K$2:$K$161,'Alle Resultate'!$A$2:$A$161,J$8,'Alle Resultate'!$B$2:$B$161,$B24,'Alle Resultate'!$C$2:$C$161,$A24)</x:f>
        <x:v>0.5206821846932778</x:v>
      </x:c>
      <x:c r="K24" s="69" t="n">
        <x:f>MAX(C24:J24)</x:f>
        <x:v>0.5278723686728386</x:v>
      </x:c>
      <x:c r="L24" s="70" t="str">
        <x:f>INDEX($C$8:$J$8,1,MATCH(K24,C24:J24,0))</x:f>
        <x:v>l2</x:v>
      </x:c>
    </x:row>
    <x:row r="25">
      <x:c r="A25" s="23" t="str">
        <x:v>ttn</x:v>
      </x:c>
      <x:c r="B25" s="23" t="str">
        <x:v>hnmr</x:v>
      </x:c>
      <x:c r="C25" s="24" t="n">
        <x:f>AVERAGEIFS('Alle Resultate'!$K$2:$K$161,'Alle Resultate'!$A$2:$A$161,C$8,'Alle Resultate'!$B$2:$B$161,$B25,'Alle Resultate'!$C$2:$C$161,$A25)</x:f>
        <x:v>0.49354365180016535</x:v>
      </x:c>
      <x:c r="D25" s="24" t="n">
        <x:f>AVERAGEIFS('Alle Resultate'!$K$2:$K$161,'Alle Resultate'!$A$2:$A$161,D$8,'Alle Resultate'!$B$2:$B$161,$B25,'Alle Resultate'!$C$2:$C$161,$A25)</x:f>
        <x:v>0.49873003282749007</x:v>
      </x:c>
      <x:c r="E25" s="24" t="n">
        <x:f>AVERAGEIFS('Alle Resultate'!$K$2:$K$161,'Alle Resultate'!$A$2:$A$161,E$8,'Alle Resultate'!$B$2:$B$161,$B25,'Alle Resultate'!$C$2:$C$161,$A25)</x:f>
        <x:v>0.49930195700569835</x:v>
      </x:c>
      <x:c r="F25" s="24" t="n">
        <x:f>AVERAGEIFS('Alle Resultate'!$K$2:$K$161,'Alle Resultate'!$A$2:$A$161,F$8,'Alle Resultate'!$B$2:$B$161,$B25,'Alle Resultate'!$C$2:$C$161,$A25)</x:f>
        <x:v>0.49930195700569835</x:v>
      </x:c>
      <x:c r="G25" s="24" t="n">
        <x:f>AVERAGEIFS('Alle Resultate'!$K$2:$K$161,'Alle Resultate'!$A$2:$A$161,G$8,'Alle Resultate'!$B$2:$B$161,$B25,'Alle Resultate'!$C$2:$C$161,$A25)</x:f>
        <x:v>0.4978859628824226</x:v>
      </x:c>
      <x:c r="H25" s="24" t="n">
        <x:f>AVERAGEIFS('Alle Resultate'!$K$2:$K$161,'Alle Resultate'!$A$2:$A$161,H$8,'Alle Resultate'!$B$2:$B$161,$B25,'Alle Resultate'!$C$2:$C$161,$A25)</x:f>
        <x:v>0.4977884312591827</x:v>
      </x:c>
      <x:c r="I25" s="24" t="n">
        <x:f>AVERAGEIFS('Alle Resultate'!$K$2:$K$161,'Alle Resultate'!$A$2:$A$161,I$8,'Alle Resultate'!$B$2:$B$161,$B25,'Alle Resultate'!$C$2:$C$161,$A25)</x:f>
        <x:v>0.48734929776306857</x:v>
      </x:c>
      <x:c r="J25" s="24" t="n">
        <x:f>AVERAGEIFS('Alle Resultate'!$K$2:$K$161,'Alle Resultate'!$A$2:$A$161,J$8,'Alle Resultate'!$B$2:$B$161,$B25,'Alle Resultate'!$C$2:$C$161,$A25)</x:f>
        <x:v>0.48449724878961786</x:v>
      </x:c>
      <x:c r="K25" s="69" t="n">
        <x:f>MAX(C25:J25)</x:f>
        <x:v>0.49930195700569835</x:v>
      </x:c>
      <x:c r="L25" s="70" t="str">
        <x:f>INDEX($C$8:$J$8,1,MATCH(K25,C25:J25,0))</x:f>
        <x:v>minmax</x:v>
      </x:c>
    </x:row>
    <x:row r="26">
      <x:c r="A26" s="23" t="str">
        <x:v>ttn</x:v>
      </x:c>
      <x:c r="B26" s="23" t="str">
        <x:v>ir</x:v>
      </x:c>
      <x:c r="C26" s="24" t="n">
        <x:f>AVERAGEIFS('Alle Resultate'!$K$2:$K$161,'Alle Resultate'!$A$2:$A$161,C$8,'Alle Resultate'!$B$2:$B$161,$B26,'Alle Resultate'!$C$2:$C$161,$A26)</x:f>
        <x:v>0.7106431237031401</x:v>
      </x:c>
      <x:c r="D26" s="24" t="n">
        <x:f>AVERAGEIFS('Alle Resultate'!$K$2:$K$161,'Alle Resultate'!$A$2:$A$161,D$8,'Alle Resultate'!$B$2:$B$161,$B26,'Alle Resultate'!$C$2:$C$161,$A26)</x:f>
        <x:v>0.7104112624584074</x:v>
      </x:c>
      <x:c r="E26" s="24" t="n">
        <x:f>AVERAGEIFS('Alle Resultate'!$K$2:$K$161,'Alle Resultate'!$A$2:$A$161,E$8,'Alle Resultate'!$B$2:$B$161,$B26,'Alle Resultate'!$C$2:$C$161,$A26)</x:f>
        <x:v>0.7021816591590699</x:v>
      </x:c>
      <x:c r="F26" s="24" t="n">
        <x:f>AVERAGEIFS('Alle Resultate'!$K$2:$K$161,'Alle Resultate'!$A$2:$A$161,F$8,'Alle Resultate'!$B$2:$B$161,$B26,'Alle Resultate'!$C$2:$C$161,$A26)</x:f>
        <x:v>0.7171354412106263</x:v>
      </x:c>
      <x:c r="G26" s="24" t="n">
        <x:f>AVERAGEIFS('Alle Resultate'!$K$2:$K$161,'Alle Resultate'!$A$2:$A$161,G$8,'Alle Resultate'!$B$2:$B$161,$B26,'Alle Resultate'!$C$2:$C$161,$A26)</x:f>
        <x:v>0.7095572553475845</x:v>
      </x:c>
      <x:c r="H26" s="24" t="n">
        <x:f>AVERAGEIFS('Alle Resultate'!$K$2:$K$161,'Alle Resultate'!$A$2:$A$161,H$8,'Alle Resultate'!$B$2:$B$161,$B26,'Alle Resultate'!$C$2:$C$161,$A26)</x:f>
        <x:v>0.7218079742434198</x:v>
      </x:c>
      <x:c r="I26" s="24" t="n">
        <x:f>AVERAGEIFS('Alle Resultate'!$K$2:$K$161,'Alle Resultate'!$A$2:$A$161,I$8,'Alle Resultate'!$B$2:$B$161,$B26,'Alle Resultate'!$C$2:$C$161,$A26)</x:f>
        <x:v>0.7193952121722078</x:v>
      </x:c>
      <x:c r="J26" s="24" t="n">
        <x:f>AVERAGEIFS('Alle Resultate'!$K$2:$K$161,'Alle Resultate'!$A$2:$A$161,J$8,'Alle Resultate'!$B$2:$B$161,$B26,'Alle Resultate'!$C$2:$C$161,$A26)</x:f>
        <x:v>0.7170067168483936</x:v>
      </x:c>
      <x:c r="K26" s="69" t="n">
        <x:f>MAX(C26:J26)</x:f>
        <x:v>0.7218079742434198</x:v>
      </x:c>
      <x:c r="L26" s="70" t="str">
        <x:f>INDEX($C$8:$J$8,1,MATCH(K26,C26:J26,0))</x:f>
        <x:v>l2</x:v>
      </x:c>
    </x:row>
    <x:row r="27">
      <x:c r="A27" s="23" t="str">
        <x:v>ttn</x:v>
      </x:c>
      <x:c r="B27" s="23" t="str">
        <x:v>msms_pos</x:v>
      </x:c>
      <x:c r="C27" s="24" t="n">
        <x:f>AVERAGEIFS('Alle Resultate'!$K$2:$K$161,'Alle Resultate'!$A$2:$A$161,C$8,'Alle Resultate'!$B$2:$B$161,$B27,'Alle Resultate'!$C$2:$C$161,$A27)</x:f>
        <x:v>0.39960934953014304</x:v>
      </x:c>
      <x:c r="D27" s="24" t="n">
        <x:f>AVERAGEIFS('Alle Resultate'!$K$2:$K$161,'Alle Resultate'!$A$2:$A$161,D$8,'Alle Resultate'!$B$2:$B$161,$B27,'Alle Resultate'!$C$2:$C$161,$A27)</x:f>
        <x:v>0.3949979857772053</x:v>
      </x:c>
      <x:c r="E27" s="24" t="n">
        <x:f>AVERAGEIFS('Alle Resultate'!$K$2:$K$161,'Alle Resultate'!$A$2:$A$161,E$8,'Alle Resultate'!$B$2:$B$161,$B27,'Alle Resultate'!$C$2:$C$161,$A27)</x:f>
        <x:v>0.39646544467499756</x:v>
      </x:c>
      <x:c r="F27" s="24" t="n">
        <x:f>AVERAGEIFS('Alle Resultate'!$K$2:$K$161,'Alle Resultate'!$A$2:$A$161,F$8,'Alle Resultate'!$B$2:$B$161,$B27,'Alle Resultate'!$C$2:$C$161,$A27)</x:f>
        <x:v>0.39646544467499756</x:v>
      </x:c>
      <x:c r="G27" s="24" t="n">
        <x:f>AVERAGEIFS('Alle Resultate'!$K$2:$K$161,'Alle Resultate'!$A$2:$A$161,G$8,'Alle Resultate'!$B$2:$B$161,$B27,'Alle Resultate'!$C$2:$C$161,$A27)</x:f>
        <x:v>0.3968100002331009</x:v>
      </x:c>
      <x:c r="H27" s="24" t="n">
        <x:f>AVERAGEIFS('Alle Resultate'!$K$2:$K$161,'Alle Resultate'!$A$2:$A$161,H$8,'Alle Resultate'!$B$2:$B$161,$B27,'Alle Resultate'!$C$2:$C$161,$A27)</x:f>
        <x:v>0.39288315044187444</x:v>
      </x:c>
      <x:c r="I27" s="24" t="n">
        <x:f>AVERAGEIFS('Alle Resultate'!$K$2:$K$161,'Alle Resultate'!$A$2:$A$161,I$8,'Alle Resultate'!$B$2:$B$161,$B27,'Alle Resultate'!$C$2:$C$161,$A27)</x:f>
        <x:v>0.4011111448978988</x:v>
      </x:c>
      <x:c r="J27" s="24" t="n">
        <x:f>AVERAGEIFS('Alle Resultate'!$K$2:$K$161,'Alle Resultate'!$A$2:$A$161,J$8,'Alle Resultate'!$B$2:$B$161,$B27,'Alle Resultate'!$C$2:$C$161,$A27)</x:f>
        <x:v>0.39261803133305784</x:v>
      </x:c>
      <x:c r="K27" s="69" t="n">
        <x:f>MAX(C27:J27)</x:f>
        <x:v>0.4011111448978988</x:v>
      </x:c>
      <x:c r="L27" s="70" t="str">
        <x:f>INDEX($C$8:$J$8,1,MATCH(K27,C27:J27,0))</x:f>
        <x:v>savgol</x:v>
      </x:c>
    </x:row>
    <x:row r="28">
      <x:c r="A28" s="57" t="str">
        <x:v>ttn</x:v>
      </x:c>
      <x:c r="B28" s="57" t="str">
        <x:v>msms_neg</x:v>
      </x:c>
      <x:c r="C28" s="58" t="n">
        <x:f>AVERAGEIFS('Alle Resultate'!$K$2:$K$161,'Alle Resultate'!$A$2:$A$161,C$8,'Alle Resultate'!$B$2:$B$161,$B28,'Alle Resultate'!$C$2:$C$161,$A28)</x:f>
        <x:v>0.3960585673486797</x:v>
      </x:c>
      <x:c r="D28" s="58" t="n">
        <x:f>AVERAGEIFS('Alle Resultate'!$K$2:$K$161,'Alle Resultate'!$A$2:$A$161,D$8,'Alle Resultate'!$B$2:$B$161,$B28,'Alle Resultate'!$C$2:$C$161,$A28)</x:f>
        <x:v>0.3968171821669134</x:v>
      </x:c>
      <x:c r="E28" s="58" t="n">
        <x:f>AVERAGEIFS('Alle Resultate'!$K$2:$K$161,'Alle Resultate'!$A$2:$A$161,E$8,'Alle Resultate'!$B$2:$B$161,$B28,'Alle Resultate'!$C$2:$C$161,$A28)</x:f>
        <x:v>0.3964319183366428</x:v>
      </x:c>
      <x:c r="F28" s="58" t="n">
        <x:f>AVERAGEIFS('Alle Resultate'!$K$2:$K$161,'Alle Resultate'!$A$2:$A$161,F$8,'Alle Resultate'!$B$2:$B$161,$B28,'Alle Resultate'!$C$2:$C$161,$A28)</x:f>
        <x:v>0.3964319183366428</x:v>
      </x:c>
      <x:c r="G28" s="58" t="n">
        <x:f>AVERAGEIFS('Alle Resultate'!$K$2:$K$161,'Alle Resultate'!$A$2:$A$161,G$8,'Alle Resultate'!$B$2:$B$161,$B28,'Alle Resultate'!$C$2:$C$161,$A28)</x:f>
        <x:v>0.39570539224082446</x:v>
      </x:c>
      <x:c r="H28" s="58" t="n">
        <x:f>AVERAGEIFS('Alle Resultate'!$K$2:$K$161,'Alle Resultate'!$A$2:$A$161,H$8,'Alle Resultate'!$B$2:$B$161,$B28,'Alle Resultate'!$C$2:$C$161,$A28)</x:f>
        <x:v>0.3954980618428411</x:v>
      </x:c>
      <x:c r="I28" s="58" t="n">
        <x:f>AVERAGEIFS('Alle Resultate'!$K$2:$K$161,'Alle Resultate'!$A$2:$A$161,I$8,'Alle Resultate'!$B$2:$B$161,$B28,'Alle Resultate'!$C$2:$C$161,$A28)</x:f>
        <x:v>0.39603681501165233</x:v>
      </x:c>
      <x:c r="J28" s="58" t="n">
        <x:f>AVERAGEIFS('Alle Resultate'!$K$2:$K$161,'Alle Resultate'!$A$2:$A$161,J$8,'Alle Resultate'!$B$2:$B$161,$B28,'Alle Resultate'!$C$2:$C$161,$A28)</x:f>
        <x:v>0.39664082709740783</x:v>
      </x:c>
      <x:c r="K28" s="71" t="n">
        <x:f>MAX(C28:J28)</x:f>
        <x:v>0.3968171821669134</x:v>
      </x:c>
      <x:c r="L28" s="72" t="str">
        <x:f>INDEX($C$8:$J$8,1,MATCH(K28,C28:J28,0))</x:f>
        <x:v>snv</x:v>
      </x:c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</x:row>
    <x:row r="31">
      <x:c r="A31" s="49" t="str">
        <x:v>Test F1 blend</x:v>
      </x:c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</x:row>
    <x:row r="33">
      <x:c r="A33" s="17" t="str">
        <x:v>ML-Modell</x:v>
      </x:c>
      <x:c r="B33" s="18" t="str">
        <x:v>Spektrum</x:v>
      </x:c>
      <x:c r="C33" s="18" t="str">
        <x:v>none</x:v>
      </x:c>
      <x:c r="D33" s="18" t="str">
        <x:v>snv</x:v>
      </x:c>
      <x:c r="E33" s="18" t="str">
        <x:v>minmax</x:v>
      </x:c>
      <x:c r="F33" s="18" t="str">
        <x:v>max</x:v>
      </x:c>
      <x:c r="G33" s="18" t="str">
        <x:v>area</x:v>
      </x:c>
      <x:c r="H33" s="18" t="str">
        <x:v>l2</x:v>
      </x:c>
      <x:c r="I33" s="18" t="str">
        <x:v>savgol</x:v>
      </x:c>
      <x:c r="J33" s="18" t="str">
        <x:v>gaussian</x:v>
      </x:c>
      <x:c r="K33" s="18" t="str">
        <x:v>Bestwert</x:v>
      </x:c>
      <x:c r="L33" s="19" t="str">
        <x:v>Bester Parameter</x:v>
      </x:c>
    </x:row>
    <x:row r="34">
      <x:c r="A34" s="23" t="str">
        <x:v>cnn</x:v>
      </x:c>
      <x:c r="B34" s="23" t="str">
        <x:v>cnmr</x:v>
      </x:c>
      <x:c r="C34" s="24" t="n">
        <x:f>AVERAGEIFS('Alle Resultate'!$O$2:$O$161,'Alle Resultate'!$A$2:$A$161,C$33,'Alle Resultate'!$B$2:$B$161,$B34,'Alle Resultate'!$C$2:$C$161,$A34)</x:f>
        <x:v>0.3052724330261679</x:v>
      </x:c>
      <x:c r="D34" s="24" t="n">
        <x:f>AVERAGEIFS('Alle Resultate'!$O$2:$O$161,'Alle Resultate'!$A$2:$A$161,D$33,'Alle Resultate'!$B$2:$B$161,$B34,'Alle Resultate'!$C$2:$C$161,$A34)</x:f>
        <x:v>0.5589906830573024</x:v>
      </x:c>
      <x:c r="E34" s="24" t="n">
        <x:f>AVERAGEIFS('Alle Resultate'!$O$2:$O$161,'Alle Resultate'!$A$2:$A$161,E$33,'Alle Resultate'!$B$2:$B$161,$B34,'Alle Resultate'!$C$2:$C$161,$A34)</x:f>
        <x:v>0.455186767794036</x:v>
      </x:c>
      <x:c r="F34" s="24" t="n">
        <x:f>AVERAGEIFS('Alle Resultate'!$O$2:$O$161,'Alle Resultate'!$A$2:$A$161,F$33,'Alle Resultate'!$B$2:$B$161,$B34,'Alle Resultate'!$C$2:$C$161,$A34)</x:f>
        <x:v>0.4584445547666076</x:v>
      </x:c>
      <x:c r="G34" s="24" t="n">
        <x:f>AVERAGEIFS('Alle Resultate'!$O$2:$O$161,'Alle Resultate'!$A$2:$A$161,G$33,'Alle Resultate'!$B$2:$B$161,$B34,'Alle Resultate'!$C$2:$C$161,$A34)</x:f>
        <x:v>0.3907610300003924</x:v>
      </x:c>
      <x:c r="H34" s="24" t="n">
        <x:f>AVERAGEIFS('Alle Resultate'!$O$2:$O$161,'Alle Resultate'!$A$2:$A$161,H$33,'Alle Resultate'!$B$2:$B$161,$B34,'Alle Resultate'!$C$2:$C$161,$A34)</x:f>
        <x:v>0.3343352483007092</x:v>
      </x:c>
      <x:c r="I34" s="24" t="n">
        <x:f>AVERAGEIFS('Alle Resultate'!$O$2:$O$161,'Alle Resultate'!$A$2:$A$161,I$33,'Alle Resultate'!$B$2:$B$161,$B34,'Alle Resultate'!$C$2:$C$161,$A34)</x:f>
        <x:v>0.28590155944086604</x:v>
      </x:c>
      <x:c r="J34" s="24" t="n">
        <x:f>AVERAGEIFS('Alle Resultate'!$O$2:$O$161,'Alle Resultate'!$A$2:$A$161,J$33,'Alle Resultate'!$B$2:$B$161,$B34,'Alle Resultate'!$C$2:$C$161,$A34)</x:f>
        <x:v>0.31950216799988296</x:v>
      </x:c>
      <x:c r="K34" s="69" t="n">
        <x:f>MAX(C34:J34)</x:f>
        <x:v>0.5589906830573024</x:v>
      </x:c>
      <x:c r="L34" s="70" t="str">
        <x:f>INDEX($C$33:$J$33,1,MATCH(K34,C34:J34,0))</x:f>
        <x:v>snv</x:v>
      </x:c>
    </x:row>
    <x:row r="35">
      <x:c r="A35" s="23" t="str">
        <x:v>cnn</x:v>
      </x:c>
      <x:c r="B35" s="23" t="str">
        <x:v>hnmr</x:v>
      </x:c>
      <x:c r="C35" s="24" t="n">
        <x:f>AVERAGEIFS('Alle Resultate'!$O$2:$O$161,'Alle Resultate'!$A$2:$A$161,C$33,'Alle Resultate'!$B$2:$B$161,$B35,'Alle Resultate'!$C$2:$C$161,$A35)</x:f>
        <x:v>0.354413632111879</x:v>
      </x:c>
      <x:c r="D35" s="24" t="n">
        <x:f>AVERAGEIFS('Alle Resultate'!$O$2:$O$161,'Alle Resultate'!$A$2:$A$161,D$33,'Alle Resultate'!$B$2:$B$161,$B35,'Alle Resultate'!$C$2:$C$161,$A35)</x:f>
        <x:v>0.5560039043190682</x:v>
      </x:c>
      <x:c r="E35" s="24" t="n">
        <x:f>AVERAGEIFS('Alle Resultate'!$O$2:$O$161,'Alle Resultate'!$A$2:$A$161,E$33,'Alle Resultate'!$B$2:$B$161,$B35,'Alle Resultate'!$C$2:$C$161,$A35)</x:f>
        <x:v>0.5131391255067662</x:v>
      </x:c>
      <x:c r="F35" s="24" t="n">
        <x:f>AVERAGEIFS('Alle Resultate'!$O$2:$O$161,'Alle Resultate'!$A$2:$A$161,F$33,'Alle Resultate'!$B$2:$B$161,$B35,'Alle Resultate'!$C$2:$C$161,$A35)</x:f>
        <x:v>0.5326827896969841</x:v>
      </x:c>
      <x:c r="G35" s="24" t="n">
        <x:f>AVERAGEIFS('Alle Resultate'!$O$2:$O$161,'Alle Resultate'!$A$2:$A$161,G$33,'Alle Resultate'!$B$2:$B$161,$B35,'Alle Resultate'!$C$2:$C$161,$A35)</x:f>
        <x:v>0.41949105663942227</x:v>
      </x:c>
      <x:c r="H35" s="24" t="n">
        <x:f>AVERAGEIFS('Alle Resultate'!$O$2:$O$161,'Alle Resultate'!$A$2:$A$161,H$33,'Alle Resultate'!$B$2:$B$161,$B35,'Alle Resultate'!$C$2:$C$161,$A35)</x:f>
        <x:v>0.4266194021244047</x:v>
      </x:c>
      <x:c r="I35" s="24" t="n">
        <x:f>AVERAGEIFS('Alle Resultate'!$O$2:$O$161,'Alle Resultate'!$A$2:$A$161,I$33,'Alle Resultate'!$B$2:$B$161,$B35,'Alle Resultate'!$C$2:$C$161,$A35)</x:f>
        <x:v>0.32387944592544676</x:v>
      </x:c>
      <x:c r="J35" s="24" t="n">
        <x:f>AVERAGEIFS('Alle Resultate'!$O$2:$O$161,'Alle Resultate'!$A$2:$A$161,J$33,'Alle Resultate'!$B$2:$B$161,$B35,'Alle Resultate'!$C$2:$C$161,$A35)</x:f>
        <x:v>0.3135175615057675</x:v>
      </x:c>
      <x:c r="K35" s="69" t="n">
        <x:f>MAX(C35:J35)</x:f>
        <x:v>0.5560039043190682</x:v>
      </x:c>
      <x:c r="L35" s="70" t="str">
        <x:f>INDEX($C$33:$J$33,1,MATCH(K35,C35:J35,0))</x:f>
        <x:v>snv</x:v>
      </x:c>
    </x:row>
    <x:row r="36">
      <x:c r="A36" s="23" t="str">
        <x:v>cnn</x:v>
      </x:c>
      <x:c r="B36" s="23" t="str">
        <x:v>ir</x:v>
      </x:c>
      <x:c r="C36" s="24" t="n">
        <x:f>AVERAGEIFS('Alle Resultate'!$O$2:$O$161,'Alle Resultate'!$A$2:$A$161,C$33,'Alle Resultate'!$B$2:$B$161,$B36,'Alle Resultate'!$C$2:$C$161,$A36)</x:f>
        <x:v>0.7727462652666468</x:v>
      </x:c>
      <x:c r="D36" s="24" t="n">
        <x:f>AVERAGEIFS('Alle Resultate'!$O$2:$O$161,'Alle Resultate'!$A$2:$A$161,D$33,'Alle Resultate'!$B$2:$B$161,$B36,'Alle Resultate'!$C$2:$C$161,$A36)</x:f>
        <x:v>0.7924176280657059</x:v>
      </x:c>
      <x:c r="E36" s="24" t="n">
        <x:f>AVERAGEIFS('Alle Resultate'!$O$2:$O$161,'Alle Resultate'!$A$2:$A$161,E$33,'Alle Resultate'!$B$2:$B$161,$B36,'Alle Resultate'!$C$2:$C$161,$A36)</x:f>
        <x:v>0.7740102713365902</x:v>
      </x:c>
      <x:c r="F36" s="24" t="n">
        <x:f>AVERAGEIFS('Alle Resultate'!$O$2:$O$161,'Alle Resultate'!$A$2:$A$161,F$33,'Alle Resultate'!$B$2:$B$161,$B36,'Alle Resultate'!$C$2:$C$161,$A36)</x:f>
        <x:v>0.7777534675000994</x:v>
      </x:c>
      <x:c r="G36" s="24" t="n">
        <x:f>AVERAGEIFS('Alle Resultate'!$O$2:$O$161,'Alle Resultate'!$A$2:$A$161,G$33,'Alle Resultate'!$B$2:$B$161,$B36,'Alle Resultate'!$C$2:$C$161,$A36)</x:f>
        <x:v>0.42109699626672104</x:v>
      </x:c>
      <x:c r="H36" s="24" t="n">
        <x:f>AVERAGEIFS('Alle Resultate'!$O$2:$O$161,'Alle Resultate'!$A$2:$A$161,H$33,'Alle Resultate'!$B$2:$B$161,$B36,'Alle Resultate'!$C$2:$C$161,$A36)</x:f>
        <x:v>0.7836911991634431</x:v>
      </x:c>
      <x:c r="I36" s="24" t="n">
        <x:f>AVERAGEIFS('Alle Resultate'!$O$2:$O$161,'Alle Resultate'!$A$2:$A$161,I$33,'Alle Resultate'!$B$2:$B$161,$B36,'Alle Resultate'!$C$2:$C$161,$A36)</x:f>
        <x:v>0.7716321054860341</x:v>
      </x:c>
      <x:c r="J36" s="24" t="n">
        <x:f>AVERAGEIFS('Alle Resultate'!$O$2:$O$161,'Alle Resultate'!$A$2:$A$161,J$33,'Alle Resultate'!$B$2:$B$161,$B36,'Alle Resultate'!$C$2:$C$161,$A36)</x:f>
        <x:v>0.7623813650459002</x:v>
      </x:c>
      <x:c r="K36" s="69" t="n">
        <x:f>MAX(C36:J36)</x:f>
        <x:v>0.7924176280657059</x:v>
      </x:c>
      <x:c r="L36" s="70" t="str">
        <x:f>INDEX($C$33:$J$33,1,MATCH(K36,C36:J36,0))</x:f>
        <x:v>snv</x:v>
      </x:c>
    </x:row>
    <x:row r="37">
      <x:c r="A37" s="23" t="str">
        <x:v>cnn</x:v>
      </x:c>
      <x:c r="B37" s="23" t="str">
        <x:v>msms_pos</x:v>
      </x:c>
      <x:c r="C37" s="24" t="n">
        <x:f>AVERAGEIFS('Alle Resultate'!$O$2:$O$161,'Alle Resultate'!$A$2:$A$161,C$33,'Alle Resultate'!$B$2:$B$161,$B37,'Alle Resultate'!$C$2:$C$161,$A37)</x:f>
        <x:v>0.37390013664103233</x:v>
      </x:c>
      <x:c r="D37" s="24" t="n">
        <x:f>AVERAGEIFS('Alle Resultate'!$O$2:$O$161,'Alle Resultate'!$A$2:$A$161,D$33,'Alle Resultate'!$B$2:$B$161,$B37,'Alle Resultate'!$C$2:$C$161,$A37)</x:f>
        <x:v>0.37261062381502086</x:v>
      </x:c>
      <x:c r="E37" s="24" t="n">
        <x:f>AVERAGEIFS('Alle Resultate'!$O$2:$O$161,'Alle Resultate'!$A$2:$A$161,E$33,'Alle Resultate'!$B$2:$B$161,$B37,'Alle Resultate'!$C$2:$C$161,$A37)</x:f>
        <x:v>0.365426508318283</x:v>
      </x:c>
      <x:c r="F37" s="24" t="n">
        <x:f>AVERAGEIFS('Alle Resultate'!$O$2:$O$161,'Alle Resultate'!$A$2:$A$161,F$33,'Alle Resultate'!$B$2:$B$161,$B37,'Alle Resultate'!$C$2:$C$161,$A37)</x:f>
        <x:v>0.37113768719606643</x:v>
      </x:c>
      <x:c r="G37" s="24" t="n">
        <x:f>AVERAGEIFS('Alle Resultate'!$O$2:$O$161,'Alle Resultate'!$A$2:$A$161,G$33,'Alle Resultate'!$B$2:$B$161,$B37,'Alle Resultate'!$C$2:$C$161,$A37)</x:f>
        <x:v>0.3693052156354591</x:v>
      </x:c>
      <x:c r="H37" s="24" t="n">
        <x:f>AVERAGEIFS('Alle Resultate'!$O$2:$O$161,'Alle Resultate'!$A$2:$A$161,H$33,'Alle Resultate'!$B$2:$B$161,$B37,'Alle Resultate'!$C$2:$C$161,$A37)</x:f>
        <x:v>0.3691747640720549</x:v>
      </x:c>
      <x:c r="I37" s="24" t="n">
        <x:f>AVERAGEIFS('Alle Resultate'!$O$2:$O$161,'Alle Resultate'!$A$2:$A$161,I$33,'Alle Resultate'!$B$2:$B$161,$B37,'Alle Resultate'!$C$2:$C$161,$A37)</x:f>
        <x:v>0.3755312904152649</x:v>
      </x:c>
      <x:c r="J37" s="24" t="n">
        <x:f>AVERAGEIFS('Alle Resultate'!$O$2:$O$161,'Alle Resultate'!$A$2:$A$161,J$33,'Alle Resultate'!$B$2:$B$161,$B37,'Alle Resultate'!$C$2:$C$161,$A37)</x:f>
        <x:v>0.3757568340492972</x:v>
      </x:c>
      <x:c r="K37" s="69" t="n">
        <x:f>MAX(C37:J37)</x:f>
        <x:v>0.3757568340492972</x:v>
      </x:c>
      <x:c r="L37" s="70" t="str">
        <x:f>INDEX($C$33:$J$33,1,MATCH(K37,C37:J37,0))</x:f>
        <x:v>gaussian</x:v>
      </x:c>
    </x:row>
    <x:row r="38">
      <x:c r="A38" s="23" t="str">
        <x:v>cnn</x:v>
      </x:c>
      <x:c r="B38" s="23" t="str">
        <x:v>msms_neg</x:v>
      </x:c>
      <x:c r="C38" s="24" t="n">
        <x:f>AVERAGEIFS('Alle Resultate'!$O$2:$O$161,'Alle Resultate'!$A$2:$A$161,C$33,'Alle Resultate'!$B$2:$B$161,$B38,'Alle Resultate'!$C$2:$C$161,$A38)</x:f>
        <x:v>0.3808225967514962</x:v>
      </x:c>
      <x:c r="D38" s="24" t="n">
        <x:f>AVERAGEIFS('Alle Resultate'!$O$2:$O$161,'Alle Resultate'!$A$2:$A$161,D$33,'Alle Resultate'!$B$2:$B$161,$B38,'Alle Resultate'!$C$2:$C$161,$A38)</x:f>
        <x:v>0.3799308051029244</x:v>
      </x:c>
      <x:c r="E38" s="24" t="n">
        <x:f>AVERAGEIFS('Alle Resultate'!$O$2:$O$161,'Alle Resultate'!$A$2:$A$161,E$33,'Alle Resultate'!$B$2:$B$161,$B38,'Alle Resultate'!$C$2:$C$161,$A38)</x:f>
        <x:v>0.37406218880165704</x:v>
      </x:c>
      <x:c r="F38" s="24" t="n">
        <x:f>AVERAGEIFS('Alle Resultate'!$O$2:$O$161,'Alle Resultate'!$A$2:$A$161,F$33,'Alle Resultate'!$B$2:$B$161,$B38,'Alle Resultate'!$C$2:$C$161,$A38)</x:f>
        <x:v>0.3671200960010583</x:v>
      </x:c>
      <x:c r="G38" s="24" t="n">
        <x:f>AVERAGEIFS('Alle Resultate'!$O$2:$O$161,'Alle Resultate'!$A$2:$A$161,G$33,'Alle Resultate'!$B$2:$B$161,$B38,'Alle Resultate'!$C$2:$C$161,$A38)</x:f>
        <x:v>0.3826091844443495</x:v>
      </x:c>
      <x:c r="H38" s="24" t="n">
        <x:f>AVERAGEIFS('Alle Resultate'!$O$2:$O$161,'Alle Resultate'!$A$2:$A$161,H$33,'Alle Resultate'!$B$2:$B$161,$B38,'Alle Resultate'!$C$2:$C$161,$A38)</x:f>
        <x:v>0.3771801801496767</x:v>
      </x:c>
      <x:c r="I38" s="24" t="n">
        <x:f>AVERAGEIFS('Alle Resultate'!$O$2:$O$161,'Alle Resultate'!$A$2:$A$161,I$33,'Alle Resultate'!$B$2:$B$161,$B38,'Alle Resultate'!$C$2:$C$161,$A38)</x:f>
        <x:v>0.3818419578622245</x:v>
      </x:c>
      <x:c r="J38" s="24" t="n">
        <x:f>AVERAGEIFS('Alle Resultate'!$O$2:$O$161,'Alle Resultate'!$A$2:$A$161,J$33,'Alle Resultate'!$B$2:$B$161,$B38,'Alle Resultate'!$C$2:$C$161,$A38)</x:f>
        <x:v>0.38131594308553535</x:v>
      </x:c>
      <x:c r="K38" s="69" t="n">
        <x:f>MAX(C38:J38)</x:f>
        <x:v>0.3826091844443495</x:v>
      </x:c>
      <x:c r="L38" s="70" t="str">
        <x:f>INDEX($C$33:$J$33,1,MATCH(K38,C38:J38,0))</x:f>
        <x:v>area</x:v>
      </x:c>
    </x:row>
    <x:row r="39">
      <x:c r="A39" s="23" t="str">
        <x:v>xgboost</x:v>
      </x:c>
      <x:c r="B39" s="23" t="str">
        <x:v>cnmr</x:v>
      </x:c>
      <x:c r="C39" s="24" t="n">
        <x:f>AVERAGEIFS('Alle Resultate'!$O$2:$O$161,'Alle Resultate'!$A$2:$A$161,C$33,'Alle Resultate'!$B$2:$B$161,$B39,'Alle Resultate'!$C$2:$C$161,$A39)</x:f>
        <x:v>0.6010817696920343</x:v>
      </x:c>
      <x:c r="D39" s="24" t="n">
        <x:f>AVERAGEIFS('Alle Resultate'!$O$2:$O$161,'Alle Resultate'!$A$2:$A$161,D$33,'Alle Resultate'!$B$2:$B$161,$B39,'Alle Resultate'!$C$2:$C$161,$A39)</x:f>
        <x:v>0.5052549642248014</x:v>
      </x:c>
      <x:c r="E39" s="24" t="n">
        <x:f>AVERAGEIFS('Alle Resultate'!$O$2:$O$161,'Alle Resultate'!$A$2:$A$161,E$33,'Alle Resultate'!$B$2:$B$161,$B39,'Alle Resultate'!$C$2:$C$161,$A39)</x:f>
        <x:v>0.5612749496256091</x:v>
      </x:c>
      <x:c r="F39" s="24" t="n">
        <x:f>AVERAGEIFS('Alle Resultate'!$O$2:$O$161,'Alle Resultate'!$A$2:$A$161,F$33,'Alle Resultate'!$B$2:$B$161,$B39,'Alle Resultate'!$C$2:$C$161,$A39)</x:f>
        <x:v>0.5612749496256091</x:v>
      </x:c>
      <x:c r="G39" s="24" t="n">
        <x:f>AVERAGEIFS('Alle Resultate'!$O$2:$O$161,'Alle Resultate'!$A$2:$A$161,G$33,'Alle Resultate'!$B$2:$B$161,$B39,'Alle Resultate'!$C$2:$C$161,$A39)</x:f>
        <x:v>0.5625635129235435</x:v>
      </x:c>
      <x:c r="H39" s="24" t="n">
        <x:f>AVERAGEIFS('Alle Resultate'!$O$2:$O$161,'Alle Resultate'!$A$2:$A$161,H$33,'Alle Resultate'!$B$2:$B$161,$B39,'Alle Resultate'!$C$2:$C$161,$A39)</x:f>
        <x:v>0.5613342278461446</x:v>
      </x:c>
      <x:c r="I39" s="24" t="n">
        <x:f>AVERAGEIFS('Alle Resultate'!$O$2:$O$161,'Alle Resultate'!$A$2:$A$161,I$33,'Alle Resultate'!$B$2:$B$161,$B39,'Alle Resultate'!$C$2:$C$161,$A39)</x:f>
        <x:v>0.568668865305757</x:v>
      </x:c>
      <x:c r="J39" s="24" t="n">
        <x:f>AVERAGEIFS('Alle Resultate'!$O$2:$O$161,'Alle Resultate'!$A$2:$A$161,J$33,'Alle Resultate'!$B$2:$B$161,$B39,'Alle Resultate'!$C$2:$C$161,$A39)</x:f>
        <x:v>0.5841831270041762</x:v>
      </x:c>
      <x:c r="K39" s="69" t="n">
        <x:f>MAX(C39:J39)</x:f>
        <x:v>0.6010817696920343</x:v>
      </x:c>
      <x:c r="L39" s="70" t="str">
        <x:f>INDEX($C$33:$J$33,1,MATCH(K39,C39:J39,0))</x:f>
        <x:v>none</x:v>
      </x:c>
    </x:row>
    <x:row r="40">
      <x:c r="A40" s="23" t="str">
        <x:v>xgboost</x:v>
      </x:c>
      <x:c r="B40" s="23" t="str">
        <x:v>hnmr</x:v>
      </x:c>
      <x:c r="C40" s="24" t="n">
        <x:f>AVERAGEIFS('Alle Resultate'!$O$2:$O$161,'Alle Resultate'!$A$2:$A$161,C$33,'Alle Resultate'!$B$2:$B$161,$B40,'Alle Resultate'!$C$2:$C$161,$A40)</x:f>
        <x:v>0.5661466815229343</x:v>
      </x:c>
      <x:c r="D40" s="24" t="n">
        <x:f>AVERAGEIFS('Alle Resultate'!$O$2:$O$161,'Alle Resultate'!$A$2:$A$161,D$33,'Alle Resultate'!$B$2:$B$161,$B40,'Alle Resultate'!$C$2:$C$161,$A40)</x:f>
        <x:v>0.5028676546078672</x:v>
      </x:c>
      <x:c r="E40" s="24" t="n">
        <x:f>AVERAGEIFS('Alle Resultate'!$O$2:$O$161,'Alle Resultate'!$A$2:$A$161,E$33,'Alle Resultate'!$B$2:$B$161,$B40,'Alle Resultate'!$C$2:$C$161,$A40)</x:f>
        <x:v>0.5270180516422068</x:v>
      </x:c>
      <x:c r="F40" s="24" t="n">
        <x:f>AVERAGEIFS('Alle Resultate'!$O$2:$O$161,'Alle Resultate'!$A$2:$A$161,F$33,'Alle Resultate'!$B$2:$B$161,$B40,'Alle Resultate'!$C$2:$C$161,$A40)</x:f>
        <x:v>0.5270180516422068</x:v>
      </x:c>
      <x:c r="G40" s="24" t="n">
        <x:f>AVERAGEIFS('Alle Resultate'!$O$2:$O$161,'Alle Resultate'!$A$2:$A$161,G$33,'Alle Resultate'!$B$2:$B$161,$B40,'Alle Resultate'!$C$2:$C$161,$A40)</x:f>
        <x:v>0.5329008376763836</x:v>
      </x:c>
      <x:c r="H40" s="24" t="n">
        <x:f>AVERAGEIFS('Alle Resultate'!$O$2:$O$161,'Alle Resultate'!$A$2:$A$161,H$33,'Alle Resultate'!$B$2:$B$161,$B40,'Alle Resultate'!$C$2:$C$161,$A40)</x:f>
        <x:v>0.5290158289535242</x:v>
      </x:c>
      <x:c r="I40" s="24" t="n">
        <x:f>AVERAGEIFS('Alle Resultate'!$O$2:$O$161,'Alle Resultate'!$A$2:$A$161,I$33,'Alle Resultate'!$B$2:$B$161,$B40,'Alle Resultate'!$C$2:$C$161,$A40)</x:f>
        <x:v>0.5378508562409074</x:v>
      </x:c>
      <x:c r="J40" s="24" t="n">
        <x:f>AVERAGEIFS('Alle Resultate'!$O$2:$O$161,'Alle Resultate'!$A$2:$A$161,J$33,'Alle Resultate'!$B$2:$B$161,$B40,'Alle Resultate'!$C$2:$C$161,$A40)</x:f>
        <x:v>0.5501389413714426</x:v>
      </x:c>
      <x:c r="K40" s="69" t="n">
        <x:f>MAX(C40:J40)</x:f>
        <x:v>0.5661466815229343</x:v>
      </x:c>
      <x:c r="L40" s="70" t="str">
        <x:f>INDEX($C$33:$J$33,1,MATCH(K40,C40:J40,0))</x:f>
        <x:v>none</x:v>
      </x:c>
    </x:row>
    <x:row r="41">
      <x:c r="A41" s="23" t="str">
        <x:v>xgboost</x:v>
      </x:c>
      <x:c r="B41" s="23" t="str">
        <x:v>ir</x:v>
      </x:c>
      <x:c r="C41" s="24" t="n">
        <x:f>AVERAGEIFS('Alle Resultate'!$O$2:$O$161,'Alle Resultate'!$A$2:$A$161,C$33,'Alle Resultate'!$B$2:$B$161,$B41,'Alle Resultate'!$C$2:$C$161,$A41)</x:f>
        <x:v>0.6852546157288084</x:v>
      </x:c>
      <x:c r="D41" s="24" t="n">
        <x:f>AVERAGEIFS('Alle Resultate'!$O$2:$O$161,'Alle Resultate'!$A$2:$A$161,D$33,'Alle Resultate'!$B$2:$B$161,$B41,'Alle Resultate'!$C$2:$C$161,$A41)</x:f>
        <x:v>0.6979426981113144</x:v>
      </x:c>
      <x:c r="E41" s="24" t="n">
        <x:f>AVERAGEIFS('Alle Resultate'!$O$2:$O$161,'Alle Resultate'!$A$2:$A$161,E$33,'Alle Resultate'!$B$2:$B$161,$B41,'Alle Resultate'!$C$2:$C$161,$A41)</x:f>
        <x:v>0.6724066360553616</x:v>
      </x:c>
      <x:c r="F41" s="24" t="n">
        <x:f>AVERAGEIFS('Alle Resultate'!$O$2:$O$161,'Alle Resultate'!$A$2:$A$161,F$33,'Alle Resultate'!$B$2:$B$161,$B41,'Alle Resultate'!$C$2:$C$161,$A41)</x:f>
        <x:v>0.6869523144124606</x:v>
      </x:c>
      <x:c r="G41" s="24" t="n">
        <x:f>AVERAGEIFS('Alle Resultate'!$O$2:$O$161,'Alle Resultate'!$A$2:$A$161,G$33,'Alle Resultate'!$B$2:$B$161,$B41,'Alle Resultate'!$C$2:$C$161,$A41)</x:f>
        <x:v>0.7033325288975576</x:v>
      </x:c>
      <x:c r="H41" s="24" t="n">
        <x:f>AVERAGEIFS('Alle Resultate'!$O$2:$O$161,'Alle Resultate'!$A$2:$A$161,H$33,'Alle Resultate'!$B$2:$B$161,$B41,'Alle Resultate'!$C$2:$C$161,$A41)</x:f>
        <x:v>0.6959611946062474</x:v>
      </x:c>
      <x:c r="I41" s="24" t="n">
        <x:f>AVERAGEIFS('Alle Resultate'!$O$2:$O$161,'Alle Resultate'!$A$2:$A$161,I$33,'Alle Resultate'!$B$2:$B$161,$B41,'Alle Resultate'!$C$2:$C$161,$A41)</x:f>
        <x:v>0.6926972081654628</x:v>
      </x:c>
      <x:c r="J41" s="24" t="n">
        <x:f>AVERAGEIFS('Alle Resultate'!$O$2:$O$161,'Alle Resultate'!$A$2:$A$161,J$33,'Alle Resultate'!$B$2:$B$161,$B41,'Alle Resultate'!$C$2:$C$161,$A41)</x:f>
        <x:v>0.6951130601148081</x:v>
      </x:c>
      <x:c r="K41" s="69" t="n">
        <x:f>MAX(C41:J41)</x:f>
        <x:v>0.7033325288975576</x:v>
      </x:c>
      <x:c r="L41" s="70" t="str">
        <x:f>INDEX($C$33:$J$33,1,MATCH(K41,C41:J41,0))</x:f>
        <x:v>area</x:v>
      </x:c>
    </x:row>
    <x:row r="42">
      <x:c r="A42" s="23" t="str">
        <x:v>xgboost</x:v>
      </x:c>
      <x:c r="B42" s="23" t="str">
        <x:v>msms_pos</x:v>
      </x:c>
      <x:c r="C42" s="24" t="n">
        <x:f>AVERAGEIFS('Alle Resultate'!$O$2:$O$161,'Alle Resultate'!$A$2:$A$161,C$33,'Alle Resultate'!$B$2:$B$161,$B42,'Alle Resultate'!$C$2:$C$161,$A42)</x:f>
        <x:v>0.36950241740910245</x:v>
      </x:c>
      <x:c r="D42" s="24" t="n">
        <x:f>AVERAGEIFS('Alle Resultate'!$O$2:$O$161,'Alle Resultate'!$A$2:$A$161,D$33,'Alle Resultate'!$B$2:$B$161,$B42,'Alle Resultate'!$C$2:$C$161,$A42)</x:f>
        <x:v>0.3693231057272808</x:v>
      </x:c>
      <x:c r="E42" s="24" t="n">
        <x:f>AVERAGEIFS('Alle Resultate'!$O$2:$O$161,'Alle Resultate'!$A$2:$A$161,E$33,'Alle Resultate'!$B$2:$B$161,$B42,'Alle Resultate'!$C$2:$C$161,$A42)</x:f>
        <x:v>0.36664451091919004</x:v>
      </x:c>
      <x:c r="F42" s="24" t="n">
        <x:f>AVERAGEIFS('Alle Resultate'!$O$2:$O$161,'Alle Resultate'!$A$2:$A$161,F$33,'Alle Resultate'!$B$2:$B$161,$B42,'Alle Resultate'!$C$2:$C$161,$A42)</x:f>
        <x:v>0.36664451091919004</x:v>
      </x:c>
      <x:c r="G42" s="24" t="n">
        <x:f>AVERAGEIFS('Alle Resultate'!$O$2:$O$161,'Alle Resultate'!$A$2:$A$161,G$33,'Alle Resultate'!$B$2:$B$161,$B42,'Alle Resultate'!$C$2:$C$161,$A42)</x:f>
        <x:v>0.3666161061545427</x:v>
      </x:c>
      <x:c r="H42" s="24" t="n">
        <x:f>AVERAGEIFS('Alle Resultate'!$O$2:$O$161,'Alle Resultate'!$A$2:$A$161,H$33,'Alle Resultate'!$B$2:$B$161,$B42,'Alle Resultate'!$C$2:$C$161,$A42)</x:f>
        <x:v>0.3663333935546557</x:v>
      </x:c>
      <x:c r="I42" s="24" t="n">
        <x:f>AVERAGEIFS('Alle Resultate'!$O$2:$O$161,'Alle Resultate'!$A$2:$A$161,I$33,'Alle Resultate'!$B$2:$B$161,$B42,'Alle Resultate'!$C$2:$C$161,$A42)</x:f>
        <x:v>0.37558342097214614</x:v>
      </x:c>
      <x:c r="J42" s="24" t="n">
        <x:f>AVERAGEIFS('Alle Resultate'!$O$2:$O$161,'Alle Resultate'!$A$2:$A$161,J$33,'Alle Resultate'!$B$2:$B$161,$B42,'Alle Resultate'!$C$2:$C$161,$A42)</x:f>
        <x:v>0.3742064735103897</x:v>
      </x:c>
      <x:c r="K42" s="69" t="n">
        <x:f>MAX(C42:J42)</x:f>
        <x:v>0.37558342097214614</x:v>
      </x:c>
      <x:c r="L42" s="70" t="str">
        <x:f>INDEX($C$33:$J$33,1,MATCH(K42,C42:J42,0))</x:f>
        <x:v>savgol</x:v>
      </x:c>
    </x:row>
    <x:row r="43">
      <x:c r="A43" s="23" t="str">
        <x:v>xgboost</x:v>
      </x:c>
      <x:c r="B43" s="23" t="str">
        <x:v>msms_neg</x:v>
      </x:c>
      <x:c r="C43" s="24" t="n">
        <x:f>AVERAGEIFS('Alle Resultate'!$O$2:$O$161,'Alle Resultate'!$A$2:$A$161,C$33,'Alle Resultate'!$B$2:$B$161,$B43,'Alle Resultate'!$C$2:$C$161,$A43)</x:f>
        <x:v>0.3688058974083823</x:v>
      </x:c>
      <x:c r="D43" s="24" t="n">
        <x:f>AVERAGEIFS('Alle Resultate'!$O$2:$O$161,'Alle Resultate'!$A$2:$A$161,D$33,'Alle Resultate'!$B$2:$B$161,$B43,'Alle Resultate'!$C$2:$C$161,$A43)</x:f>
        <x:v>0.3743000872658611</x:v>
      </x:c>
      <x:c r="E43" s="24" t="n">
        <x:f>AVERAGEIFS('Alle Resultate'!$O$2:$O$161,'Alle Resultate'!$A$2:$A$161,E$33,'Alle Resultate'!$B$2:$B$161,$B43,'Alle Resultate'!$C$2:$C$161,$A43)</x:f>
        <x:v>0.3652722724794463</x:v>
      </x:c>
      <x:c r="F43" s="24" t="n">
        <x:f>AVERAGEIFS('Alle Resultate'!$O$2:$O$161,'Alle Resultate'!$A$2:$A$161,F$33,'Alle Resultate'!$B$2:$B$161,$B43,'Alle Resultate'!$C$2:$C$161,$A43)</x:f>
        <x:v>0.3652722724794463</x:v>
      </x:c>
      <x:c r="G43" s="24" t="n">
        <x:f>AVERAGEIFS('Alle Resultate'!$O$2:$O$161,'Alle Resultate'!$A$2:$A$161,G$33,'Alle Resultate'!$B$2:$B$161,$B43,'Alle Resultate'!$C$2:$C$161,$A43)</x:f>
        <x:v>0.365756115332391</x:v>
      </x:c>
      <x:c r="H43" s="24" t="n">
        <x:f>AVERAGEIFS('Alle Resultate'!$O$2:$O$161,'Alle Resultate'!$A$2:$A$161,H$33,'Alle Resultate'!$B$2:$B$161,$B43,'Alle Resultate'!$C$2:$C$161,$A43)</x:f>
        <x:v>0.3658072498129978</x:v>
      </x:c>
      <x:c r="I43" s="24" t="n">
        <x:f>AVERAGEIFS('Alle Resultate'!$O$2:$O$161,'Alle Resultate'!$A$2:$A$161,I$33,'Alle Resultate'!$B$2:$B$161,$B43,'Alle Resultate'!$C$2:$C$161,$A43)</x:f>
        <x:v>0.3828836928029628</x:v>
      </x:c>
      <x:c r="J43" s="24" t="n">
        <x:f>AVERAGEIFS('Alle Resultate'!$O$2:$O$161,'Alle Resultate'!$A$2:$A$161,J$33,'Alle Resultate'!$B$2:$B$161,$B43,'Alle Resultate'!$C$2:$C$161,$A43)</x:f>
        <x:v>0.38123332659388964</x:v>
      </x:c>
      <x:c r="K43" s="69" t="n">
        <x:f>MAX(C43:J43)</x:f>
        <x:v>0.3828836928029628</x:v>
      </x:c>
      <x:c r="L43" s="70" t="str">
        <x:f>INDEX($C$33:$J$33,1,MATCH(K43,C43:J43,0))</x:f>
        <x:v>savgol</x:v>
      </x:c>
    </x:row>
    <x:row r="44">
      <x:c r="A44" s="23" t="str">
        <x:v>mps</x:v>
      </x:c>
      <x:c r="B44" s="23" t="str">
        <x:v>cnmr</x:v>
      </x:c>
      <x:c r="C44" s="24" t="n">
        <x:f>AVERAGEIFS('Alle Resultate'!$O$2:$O$161,'Alle Resultate'!$A$2:$A$161,C$33,'Alle Resultate'!$B$2:$B$161,$B44,'Alle Resultate'!$C$2:$C$161,$A44)</x:f>
        <x:v>0.4892299996426308</x:v>
      </x:c>
      <x:c r="D44" s="24" t="n">
        <x:f>AVERAGEIFS('Alle Resultate'!$O$2:$O$161,'Alle Resultate'!$A$2:$A$161,D$33,'Alle Resultate'!$B$2:$B$161,$B44,'Alle Resultate'!$C$2:$C$161,$A44)</x:f>
        <x:v>0.5414845429292694</x:v>
      </x:c>
      <x:c r="E44" s="24" t="n">
        <x:f>AVERAGEIFS('Alle Resultate'!$O$2:$O$161,'Alle Resultate'!$A$2:$A$161,E$33,'Alle Resultate'!$B$2:$B$161,$B44,'Alle Resultate'!$C$2:$C$161,$A44)</x:f>
        <x:v>0.5090551211722271</x:v>
      </x:c>
      <x:c r="F44" s="24" t="n">
        <x:f>AVERAGEIFS('Alle Resultate'!$O$2:$O$161,'Alle Resultate'!$A$2:$A$161,F$33,'Alle Resultate'!$B$2:$B$161,$B44,'Alle Resultate'!$C$2:$C$161,$A44)</x:f>
        <x:v>0.5090551211722271</x:v>
      </x:c>
      <x:c r="G44" s="24" t="n">
        <x:f>AVERAGEIFS('Alle Resultate'!$O$2:$O$161,'Alle Resultate'!$A$2:$A$161,G$33,'Alle Resultate'!$B$2:$B$161,$B44,'Alle Resultate'!$C$2:$C$161,$A44)</x:f>
        <x:v>0.49954486549217214</x:v>
      </x:c>
      <x:c r="H44" s="24" t="n">
        <x:f>AVERAGEIFS('Alle Resultate'!$O$2:$O$161,'Alle Resultate'!$A$2:$A$161,H$33,'Alle Resultate'!$B$2:$B$161,$B44,'Alle Resultate'!$C$2:$C$161,$A44)</x:f>
        <x:v>0.5113634315858221</x:v>
      </x:c>
      <x:c r="I44" s="24" t="n">
        <x:f>AVERAGEIFS('Alle Resultate'!$O$2:$O$161,'Alle Resultate'!$A$2:$A$161,I$33,'Alle Resultate'!$B$2:$B$161,$B44,'Alle Resultate'!$C$2:$C$161,$A44)</x:f>
        <x:v>0.4385342661449758</x:v>
      </x:c>
      <x:c r="J44" s="24" t="n">
        <x:f>AVERAGEIFS('Alle Resultate'!$O$2:$O$161,'Alle Resultate'!$A$2:$A$161,J$33,'Alle Resultate'!$B$2:$B$161,$B44,'Alle Resultate'!$C$2:$C$161,$A44)</x:f>
        <x:v>0.4513452695474241</x:v>
      </x:c>
      <x:c r="K44" s="69" t="n">
        <x:f>MAX(C44:J44)</x:f>
        <x:v>0.5414845429292694</x:v>
      </x:c>
      <x:c r="L44" s="70" t="str">
        <x:f>INDEX($C$33:$J$33,1,MATCH(K44,C44:J44,0))</x:f>
        <x:v>snv</x:v>
      </x:c>
    </x:row>
    <x:row r="45">
      <x:c r="A45" s="23" t="str">
        <x:v>mps</x:v>
      </x:c>
      <x:c r="B45" s="23" t="str">
        <x:v>hnmr</x:v>
      </x:c>
      <x:c r="C45" s="24" t="n">
        <x:f>AVERAGEIFS('Alle Resultate'!$O$2:$O$161,'Alle Resultate'!$A$2:$A$161,C$33,'Alle Resultate'!$B$2:$B$161,$B45,'Alle Resultate'!$C$2:$C$161,$A45)</x:f>
        <x:v>0.532829028937778</x:v>
      </x:c>
      <x:c r="D45" s="24" t="n">
        <x:f>AVERAGEIFS('Alle Resultate'!$O$2:$O$161,'Alle Resultate'!$A$2:$A$161,D$33,'Alle Resultate'!$B$2:$B$161,$B45,'Alle Resultate'!$C$2:$C$161,$A45)</x:f>
        <x:v>0.5460316141759913</x:v>
      </x:c>
      <x:c r="E45" s="24" t="n">
        <x:f>AVERAGEIFS('Alle Resultate'!$O$2:$O$161,'Alle Resultate'!$A$2:$A$161,E$33,'Alle Resultate'!$B$2:$B$161,$B45,'Alle Resultate'!$C$2:$C$161,$A45)</x:f>
        <x:v>0.5331134594761784</x:v>
      </x:c>
      <x:c r="F45" s="24" t="n">
        <x:f>AVERAGEIFS('Alle Resultate'!$O$2:$O$161,'Alle Resultate'!$A$2:$A$161,F$33,'Alle Resultate'!$B$2:$B$161,$B45,'Alle Resultate'!$C$2:$C$161,$A45)</x:f>
        <x:v>0.5331134594761784</x:v>
      </x:c>
      <x:c r="G45" s="24" t="n">
        <x:f>AVERAGEIFS('Alle Resultate'!$O$2:$O$161,'Alle Resultate'!$A$2:$A$161,G$33,'Alle Resultate'!$B$2:$B$161,$B45,'Alle Resultate'!$C$2:$C$161,$A45)</x:f>
        <x:v>0.5315272160514941</x:v>
      </x:c>
      <x:c r="H45" s="24" t="n">
        <x:f>AVERAGEIFS('Alle Resultate'!$O$2:$O$161,'Alle Resultate'!$A$2:$A$161,H$33,'Alle Resultate'!$B$2:$B$161,$B45,'Alle Resultate'!$C$2:$C$161,$A45)</x:f>
        <x:v>0.5321489235516164</x:v>
      </x:c>
      <x:c r="I45" s="24" t="n">
        <x:f>AVERAGEIFS('Alle Resultate'!$O$2:$O$161,'Alle Resultate'!$A$2:$A$161,I$33,'Alle Resultate'!$B$2:$B$161,$B45,'Alle Resultate'!$C$2:$C$161,$A45)</x:f>
        <x:v>0.4806312533916885</x:v>
      </x:c>
      <x:c r="J45" s="24" t="n">
        <x:f>AVERAGEIFS('Alle Resultate'!$O$2:$O$161,'Alle Resultate'!$A$2:$A$161,J$33,'Alle Resultate'!$B$2:$B$161,$B45,'Alle Resultate'!$C$2:$C$161,$A45)</x:f>
        <x:v>0.48543946021531215</x:v>
      </x:c>
      <x:c r="K45" s="69" t="n">
        <x:f>MAX(C45:J45)</x:f>
        <x:v>0.5460316141759913</x:v>
      </x:c>
      <x:c r="L45" s="70" t="str">
        <x:f>INDEX($C$33:$J$33,1,MATCH(K45,C45:J45,0))</x:f>
        <x:v>snv</x:v>
      </x:c>
    </x:row>
    <x:row r="46">
      <x:c r="A46" s="23" t="str">
        <x:v>mps</x:v>
      </x:c>
      <x:c r="B46" s="23" t="str">
        <x:v>ir</x:v>
      </x:c>
      <x:c r="C46" s="24" t="n">
        <x:f>AVERAGEIFS('Alle Resultate'!$O$2:$O$161,'Alle Resultate'!$A$2:$A$161,C$33,'Alle Resultate'!$B$2:$B$161,$B46,'Alle Resultate'!$C$2:$C$161,$A46)</x:f>
        <x:v>0.7559767499346464</x:v>
      </x:c>
      <x:c r="D46" s="24" t="n">
        <x:f>AVERAGEIFS('Alle Resultate'!$O$2:$O$161,'Alle Resultate'!$A$2:$A$161,D$33,'Alle Resultate'!$B$2:$B$161,$B46,'Alle Resultate'!$C$2:$C$161,$A46)</x:f>
        <x:v>0.7511854521865354</x:v>
      </x:c>
      <x:c r="E46" s="24" t="n">
        <x:f>AVERAGEIFS('Alle Resultate'!$O$2:$O$161,'Alle Resultate'!$A$2:$A$161,E$33,'Alle Resultate'!$B$2:$B$161,$B46,'Alle Resultate'!$C$2:$C$161,$A46)</x:f>
        <x:v>0.7565168862052489</x:v>
      </x:c>
      <x:c r="F46" s="24" t="n">
        <x:f>AVERAGEIFS('Alle Resultate'!$O$2:$O$161,'Alle Resultate'!$A$2:$A$161,F$33,'Alle Resultate'!$B$2:$B$161,$B46,'Alle Resultate'!$C$2:$C$161,$A46)</x:f>
        <x:v>0.7594498467785906</x:v>
      </x:c>
      <x:c r="G46" s="24" t="n">
        <x:f>AVERAGEIFS('Alle Resultate'!$O$2:$O$161,'Alle Resultate'!$A$2:$A$161,G$33,'Alle Resultate'!$B$2:$B$161,$B46,'Alle Resultate'!$C$2:$C$161,$A46)</x:f>
        <x:v>0.7592671950098493</x:v>
      </x:c>
      <x:c r="H46" s="24" t="n">
        <x:f>AVERAGEIFS('Alle Resultate'!$O$2:$O$161,'Alle Resultate'!$A$2:$A$161,H$33,'Alle Resultate'!$B$2:$B$161,$B46,'Alle Resultate'!$C$2:$C$161,$A46)</x:f>
        <x:v>0.7605208513752182</x:v>
      </x:c>
      <x:c r="I46" s="24" t="n">
        <x:f>AVERAGEIFS('Alle Resultate'!$O$2:$O$161,'Alle Resultate'!$A$2:$A$161,I$33,'Alle Resultate'!$B$2:$B$161,$B46,'Alle Resultate'!$C$2:$C$161,$A46)</x:f>
        <x:v>0.7557222517647977</x:v>
      </x:c>
      <x:c r="J46" s="24" t="n">
        <x:f>AVERAGEIFS('Alle Resultate'!$O$2:$O$161,'Alle Resultate'!$A$2:$A$161,J$33,'Alle Resultate'!$B$2:$B$161,$B46,'Alle Resultate'!$C$2:$C$161,$A46)</x:f>
        <x:v>0.7650641166281905</x:v>
      </x:c>
      <x:c r="K46" s="69" t="n">
        <x:f>MAX(C46:J46)</x:f>
        <x:v>0.7650641166281905</x:v>
      </x:c>
      <x:c r="L46" s="70" t="str">
        <x:f>INDEX($C$33:$J$33,1,MATCH(K46,C46:J46,0))</x:f>
        <x:v>gaussian</x:v>
      </x:c>
    </x:row>
    <x:row r="47">
      <x:c r="A47" s="23" t="str">
        <x:v>mps</x:v>
      </x:c>
      <x:c r="B47" s="23" t="str">
        <x:v>msms_pos</x:v>
      </x:c>
      <x:c r="C47" s="24" t="n">
        <x:f>AVERAGEIFS('Alle Resultate'!$O$2:$O$161,'Alle Resultate'!$A$2:$A$161,C$33,'Alle Resultate'!$B$2:$B$161,$B47,'Alle Resultate'!$C$2:$C$161,$A47)</x:f>
        <x:v>0.22881846337982642</x:v>
      </x:c>
      <x:c r="D47" s="24" t="n">
        <x:f>AVERAGEIFS('Alle Resultate'!$O$2:$O$161,'Alle Resultate'!$A$2:$A$161,D$33,'Alle Resultate'!$B$2:$B$161,$B47,'Alle Resultate'!$C$2:$C$161,$A47)</x:f>
        <x:v>0.23722031273606195</x:v>
      </x:c>
      <x:c r="E47" s="24" t="n">
        <x:f>AVERAGEIFS('Alle Resultate'!$O$2:$O$161,'Alle Resultate'!$A$2:$A$161,E$33,'Alle Resultate'!$B$2:$B$161,$B47,'Alle Resultate'!$C$2:$C$161,$A47)</x:f>
        <x:v>0.23296442313076304</x:v>
      </x:c>
      <x:c r="F47" s="24" t="n">
        <x:f>AVERAGEIFS('Alle Resultate'!$O$2:$O$161,'Alle Resultate'!$A$2:$A$161,F$33,'Alle Resultate'!$B$2:$B$161,$B47,'Alle Resultate'!$C$2:$C$161,$A47)</x:f>
        <x:v>0.23296442313076304</x:v>
      </x:c>
      <x:c r="G47" s="24" t="n">
        <x:f>AVERAGEIFS('Alle Resultate'!$O$2:$O$161,'Alle Resultate'!$A$2:$A$161,G$33,'Alle Resultate'!$B$2:$B$161,$B47,'Alle Resultate'!$C$2:$C$161,$A47)</x:f>
        <x:v>0.2304038608943672</x:v>
      </x:c>
      <x:c r="H47" s="24" t="n">
        <x:f>AVERAGEIFS('Alle Resultate'!$O$2:$O$161,'Alle Resultate'!$A$2:$A$161,H$33,'Alle Resultate'!$B$2:$B$161,$B47,'Alle Resultate'!$C$2:$C$161,$A47)</x:f>
        <x:v>0.23612846477248098</x:v>
      </x:c>
      <x:c r="I47" s="24" t="n">
        <x:f>AVERAGEIFS('Alle Resultate'!$O$2:$O$161,'Alle Resultate'!$A$2:$A$161,I$33,'Alle Resultate'!$B$2:$B$161,$B47,'Alle Resultate'!$C$2:$C$161,$A47)</x:f>
        <x:v>0.23597777566614775</x:v>
      </x:c>
      <x:c r="J47" s="24" t="n">
        <x:f>AVERAGEIFS('Alle Resultate'!$O$2:$O$161,'Alle Resultate'!$A$2:$A$161,J$33,'Alle Resultate'!$B$2:$B$161,$B47,'Alle Resultate'!$C$2:$C$161,$A47)</x:f>
        <x:v>0.22885149092828416</x:v>
      </x:c>
      <x:c r="K47" s="69" t="n">
        <x:f>MAX(C47:J47)</x:f>
        <x:v>0.23722031273606195</x:v>
      </x:c>
      <x:c r="L47" s="70" t="str">
        <x:f>INDEX($C$33:$J$33,1,MATCH(K47,C47:J47,0))</x:f>
        <x:v>snv</x:v>
      </x:c>
    </x:row>
    <x:row r="48">
      <x:c r="A48" s="23" t="str">
        <x:v>mps</x:v>
      </x:c>
      <x:c r="B48" s="23" t="str">
        <x:v>msms_neg</x:v>
      </x:c>
      <x:c r="C48" s="24" t="n">
        <x:f>AVERAGEIFS('Alle Resultate'!$O$2:$O$161,'Alle Resultate'!$A$2:$A$161,C$33,'Alle Resultate'!$B$2:$B$161,$B48,'Alle Resultate'!$C$2:$C$161,$A48)</x:f>
        <x:v>0.22461835994527585</x:v>
      </x:c>
      <x:c r="D48" s="24" t="n">
        <x:f>AVERAGEIFS('Alle Resultate'!$O$2:$O$161,'Alle Resultate'!$A$2:$A$161,D$33,'Alle Resultate'!$B$2:$B$161,$B48,'Alle Resultate'!$C$2:$C$161,$A48)</x:f>
        <x:v>0.2334881334529933</x:v>
      </x:c>
      <x:c r="E48" s="24" t="n">
        <x:f>AVERAGEIFS('Alle Resultate'!$O$2:$O$161,'Alle Resultate'!$A$2:$A$161,E$33,'Alle Resultate'!$B$2:$B$161,$B48,'Alle Resultate'!$C$2:$C$161,$A48)</x:f>
        <x:v>0.2326116107012477</x:v>
      </x:c>
      <x:c r="F48" s="24" t="n">
        <x:f>AVERAGEIFS('Alle Resultate'!$O$2:$O$161,'Alle Resultate'!$A$2:$A$161,F$33,'Alle Resultate'!$B$2:$B$161,$B48,'Alle Resultate'!$C$2:$C$161,$A48)</x:f>
        <x:v>0.2326116107012477</x:v>
      </x:c>
      <x:c r="G48" s="24" t="n">
        <x:f>AVERAGEIFS('Alle Resultate'!$O$2:$O$161,'Alle Resultate'!$A$2:$A$161,G$33,'Alle Resultate'!$B$2:$B$161,$B48,'Alle Resultate'!$C$2:$C$161,$A48)</x:f>
        <x:v>0.22644871215946322</x:v>
      </x:c>
      <x:c r="H48" s="24" t="n">
        <x:f>AVERAGEIFS('Alle Resultate'!$O$2:$O$161,'Alle Resultate'!$A$2:$A$161,H$33,'Alle Resultate'!$B$2:$B$161,$B48,'Alle Resultate'!$C$2:$C$161,$A48)</x:f>
        <x:v>0.22906121800008425</x:v>
      </x:c>
      <x:c r="I48" s="24" t="n">
        <x:f>AVERAGEIFS('Alle Resultate'!$O$2:$O$161,'Alle Resultate'!$A$2:$A$161,I$33,'Alle Resultate'!$B$2:$B$161,$B48,'Alle Resultate'!$C$2:$C$161,$A48)</x:f>
        <x:v>0.2248927939607328</x:v>
      </x:c>
      <x:c r="J48" s="24" t="n">
        <x:f>AVERAGEIFS('Alle Resultate'!$O$2:$O$161,'Alle Resultate'!$A$2:$A$161,J$33,'Alle Resultate'!$B$2:$B$161,$B48,'Alle Resultate'!$C$2:$C$161,$A48)</x:f>
        <x:v>0.23170419781285578</x:v>
      </x:c>
      <x:c r="K48" s="69" t="n">
        <x:f>MAX(C48:J48)</x:f>
        <x:v>0.2334881334529933</x:v>
      </x:c>
      <x:c r="L48" s="70" t="str">
        <x:f>INDEX($C$33:$J$33,1,MATCH(K48,C48:J48,0))</x:f>
        <x:v>snv</x:v>
      </x:c>
    </x:row>
    <x:row r="49">
      <x:c r="A49" s="23" t="str">
        <x:v>ttn</x:v>
      </x:c>
      <x:c r="B49" s="23" t="str">
        <x:v>cnmr</x:v>
      </x:c>
      <x:c r="C49" s="24" t="n">
        <x:f>AVERAGEIFS('Alle Resultate'!$O$2:$O$161,'Alle Resultate'!$A$2:$A$161,C$33,'Alle Resultate'!$B$2:$B$161,$B49,'Alle Resultate'!$C$2:$C$161,$A49)</x:f>
        <x:v>0.5227792475472206</x:v>
      </x:c>
      <x:c r="D49" s="24" t="n">
        <x:f>AVERAGEIFS('Alle Resultate'!$O$2:$O$161,'Alle Resultate'!$A$2:$A$161,D$33,'Alle Resultate'!$B$2:$B$161,$B49,'Alle Resultate'!$C$2:$C$161,$A49)</x:f>
        <x:v>0.5207874412264879</x:v>
      </x:c>
      <x:c r="E49" s="24" t="n">
        <x:f>AVERAGEIFS('Alle Resultate'!$O$2:$O$161,'Alle Resultate'!$A$2:$A$161,E$33,'Alle Resultate'!$B$2:$B$161,$B49,'Alle Resultate'!$C$2:$C$161,$A49)</x:f>
        <x:v>0.5225342482552253</x:v>
      </x:c>
      <x:c r="F49" s="24" t="n">
        <x:f>AVERAGEIFS('Alle Resultate'!$O$2:$O$161,'Alle Resultate'!$A$2:$A$161,F$33,'Alle Resultate'!$B$2:$B$161,$B49,'Alle Resultate'!$C$2:$C$161,$A49)</x:f>
        <x:v>0.5225342482552253</x:v>
      </x:c>
      <x:c r="G49" s="24" t="n">
        <x:f>AVERAGEIFS('Alle Resultate'!$O$2:$O$161,'Alle Resultate'!$A$2:$A$161,G$33,'Alle Resultate'!$B$2:$B$161,$B49,'Alle Resultate'!$C$2:$C$161,$A49)</x:f>
        <x:v>0.5245324262992878</x:v>
      </x:c>
      <x:c r="H49" s="24" t="n">
        <x:f>AVERAGEIFS('Alle Resultate'!$O$2:$O$161,'Alle Resultate'!$A$2:$A$161,H$33,'Alle Resultate'!$B$2:$B$161,$B49,'Alle Resultate'!$C$2:$C$161,$A49)</x:f>
        <x:v>0.524159970369161</x:v>
      </x:c>
      <x:c r="I49" s="24" t="n">
        <x:f>AVERAGEIFS('Alle Resultate'!$O$2:$O$161,'Alle Resultate'!$A$2:$A$161,I$33,'Alle Resultate'!$B$2:$B$161,$B49,'Alle Resultate'!$C$2:$C$161,$A49)</x:f>
        <x:v>0.5202181668818524</x:v>
      </x:c>
      <x:c r="J49" s="24" t="n">
        <x:f>AVERAGEIFS('Alle Resultate'!$O$2:$O$161,'Alle Resultate'!$A$2:$A$161,J$33,'Alle Resultate'!$B$2:$B$161,$B49,'Alle Resultate'!$C$2:$C$161,$A49)</x:f>
        <x:v>0.5211848376890361</x:v>
      </x:c>
      <x:c r="K49" s="69" t="n">
        <x:f>MAX(C49:J49)</x:f>
        <x:v>0.5245324262992878</x:v>
      </x:c>
      <x:c r="L49" s="70" t="str">
        <x:f>INDEX($C$33:$J$33,1,MATCH(K49,C49:J49,0))</x:f>
        <x:v>area</x:v>
      </x:c>
    </x:row>
    <x:row r="50">
      <x:c r="A50" s="23" t="str">
        <x:v>ttn</x:v>
      </x:c>
      <x:c r="B50" s="23" t="str">
        <x:v>hnmr</x:v>
      </x:c>
      <x:c r="C50" s="24" t="n">
        <x:f>AVERAGEIFS('Alle Resultate'!$O$2:$O$161,'Alle Resultate'!$A$2:$A$161,C$33,'Alle Resultate'!$B$2:$B$161,$B50,'Alle Resultate'!$C$2:$C$161,$A50)</x:f>
        <x:v>0.4911451965508503</x:v>
      </x:c>
      <x:c r="D50" s="24" t="n">
        <x:f>AVERAGEIFS('Alle Resultate'!$O$2:$O$161,'Alle Resultate'!$A$2:$A$161,D$33,'Alle Resultate'!$B$2:$B$161,$B50,'Alle Resultate'!$C$2:$C$161,$A50)</x:f>
        <x:v>0.4968846634304216</x:v>
      </x:c>
      <x:c r="E50" s="24" t="n">
        <x:f>AVERAGEIFS('Alle Resultate'!$O$2:$O$161,'Alle Resultate'!$A$2:$A$161,E$33,'Alle Resultate'!$B$2:$B$161,$B50,'Alle Resultate'!$C$2:$C$161,$A50)</x:f>
        <x:v>0.4963919504487897</x:v>
      </x:c>
      <x:c r="F50" s="24" t="n">
        <x:f>AVERAGEIFS('Alle Resultate'!$O$2:$O$161,'Alle Resultate'!$A$2:$A$161,F$33,'Alle Resultate'!$B$2:$B$161,$B50,'Alle Resultate'!$C$2:$C$161,$A50)</x:f>
        <x:v>0.4963919504487897</x:v>
      </x:c>
      <x:c r="G50" s="24" t="n">
        <x:f>AVERAGEIFS('Alle Resultate'!$O$2:$O$161,'Alle Resultate'!$A$2:$A$161,G$33,'Alle Resultate'!$B$2:$B$161,$B50,'Alle Resultate'!$C$2:$C$161,$A50)</x:f>
        <x:v>0.49402366108086465</x:v>
      </x:c>
      <x:c r="H50" s="24" t="n">
        <x:f>AVERAGEIFS('Alle Resultate'!$O$2:$O$161,'Alle Resultate'!$A$2:$A$161,H$33,'Alle Resultate'!$B$2:$B$161,$B50,'Alle Resultate'!$C$2:$C$161,$A50)</x:f>
        <x:v>0.49400662976007614</x:v>
      </x:c>
      <x:c r="I50" s="24" t="n">
        <x:f>AVERAGEIFS('Alle Resultate'!$O$2:$O$161,'Alle Resultate'!$A$2:$A$161,I$33,'Alle Resultate'!$B$2:$B$161,$B50,'Alle Resultate'!$C$2:$C$161,$A50)</x:f>
        <x:v>0.48457762701136853</x:v>
      </x:c>
      <x:c r="J50" s="24" t="n">
        <x:f>AVERAGEIFS('Alle Resultate'!$O$2:$O$161,'Alle Resultate'!$A$2:$A$161,J$33,'Alle Resultate'!$B$2:$B$161,$B50,'Alle Resultate'!$C$2:$C$161,$A50)</x:f>
        <x:v>0.48319936928621426</x:v>
      </x:c>
      <x:c r="K50" s="69" t="n">
        <x:f>MAX(C50:J50)</x:f>
        <x:v>0.4968846634304216</x:v>
      </x:c>
      <x:c r="L50" s="70" t="str">
        <x:f>INDEX($C$33:$J$33,1,MATCH(K50,C50:J50,0))</x:f>
        <x:v>snv</x:v>
      </x:c>
    </x:row>
    <x:row r="51">
      <x:c r="A51" s="23" t="str">
        <x:v>ttn</x:v>
      </x:c>
      <x:c r="B51" s="23" t="str">
        <x:v>ir</x:v>
      </x:c>
      <x:c r="C51" s="24" t="n">
        <x:f>AVERAGEIFS('Alle Resultate'!$O$2:$O$161,'Alle Resultate'!$A$2:$A$161,C$33,'Alle Resultate'!$B$2:$B$161,$B51,'Alle Resultate'!$C$2:$C$161,$A51)</x:f>
        <x:v>0.7086065125715235</x:v>
      </x:c>
      <x:c r="D51" s="24" t="n">
        <x:f>AVERAGEIFS('Alle Resultate'!$O$2:$O$161,'Alle Resultate'!$A$2:$A$161,D$33,'Alle Resultate'!$B$2:$B$161,$B51,'Alle Resultate'!$C$2:$C$161,$A51)</x:f>
        <x:v>0.7070321678378975</x:v>
      </x:c>
      <x:c r="E51" s="24" t="n">
        <x:f>AVERAGEIFS('Alle Resultate'!$O$2:$O$161,'Alle Resultate'!$A$2:$A$161,E$33,'Alle Resultate'!$B$2:$B$161,$B51,'Alle Resultate'!$C$2:$C$161,$A51)</x:f>
        <x:v>0.6917829934833839</x:v>
      </x:c>
      <x:c r="F51" s="24" t="n">
        <x:f>AVERAGEIFS('Alle Resultate'!$O$2:$O$161,'Alle Resultate'!$A$2:$A$161,F$33,'Alle Resultate'!$B$2:$B$161,$B51,'Alle Resultate'!$C$2:$C$161,$A51)</x:f>
        <x:v>0.7136965524215344</x:v>
      </x:c>
      <x:c r="G51" s="24" t="n">
        <x:f>AVERAGEIFS('Alle Resultate'!$O$2:$O$161,'Alle Resultate'!$A$2:$A$161,G$33,'Alle Resultate'!$B$2:$B$161,$B51,'Alle Resultate'!$C$2:$C$161,$A51)</x:f>
        <x:v>0.7054086167605143</x:v>
      </x:c>
      <x:c r="H51" s="24" t="n">
        <x:f>AVERAGEIFS('Alle Resultate'!$O$2:$O$161,'Alle Resultate'!$A$2:$A$161,H$33,'Alle Resultate'!$B$2:$B$161,$B51,'Alle Resultate'!$C$2:$C$161,$A51)</x:f>
        <x:v>0.7066112969358365</x:v>
      </x:c>
      <x:c r="I51" s="24" t="n">
        <x:f>AVERAGEIFS('Alle Resultate'!$O$2:$O$161,'Alle Resultate'!$A$2:$A$161,I$33,'Alle Resultate'!$B$2:$B$161,$B51,'Alle Resultate'!$C$2:$C$161,$A51)</x:f>
        <x:v>0.7201013322763875</x:v>
      </x:c>
      <x:c r="J51" s="24" t="n">
        <x:f>AVERAGEIFS('Alle Resultate'!$O$2:$O$161,'Alle Resultate'!$A$2:$A$161,J$33,'Alle Resultate'!$B$2:$B$161,$B51,'Alle Resultate'!$C$2:$C$161,$A51)</x:f>
        <x:v>0.7128214658145414</x:v>
      </x:c>
      <x:c r="K51" s="69" t="n">
        <x:f>MAX(C51:J51)</x:f>
        <x:v>0.7201013322763875</x:v>
      </x:c>
      <x:c r="L51" s="70" t="str">
        <x:f>INDEX($C$33:$J$33,1,MATCH(K51,C51:J51,0))</x:f>
        <x:v>savgol</x:v>
      </x:c>
    </x:row>
    <x:row r="52">
      <x:c r="A52" s="23" t="str">
        <x:v>ttn</x:v>
      </x:c>
      <x:c r="B52" s="23" t="str">
        <x:v>msms_pos</x:v>
      </x:c>
      <x:c r="C52" s="24" t="n">
        <x:f>AVERAGEIFS('Alle Resultate'!$O$2:$O$161,'Alle Resultate'!$A$2:$A$161,C$33,'Alle Resultate'!$B$2:$B$161,$B52,'Alle Resultate'!$C$2:$C$161,$A52)</x:f>
        <x:v>0.3996776028081106</x:v>
      </x:c>
      <x:c r="D52" s="24" t="n">
        <x:f>AVERAGEIFS('Alle Resultate'!$O$2:$O$161,'Alle Resultate'!$A$2:$A$161,D$33,'Alle Resultate'!$B$2:$B$161,$B52,'Alle Resultate'!$C$2:$C$161,$A52)</x:f>
        <x:v>0.393993556112494</x:v>
      </x:c>
      <x:c r="E52" s="24" t="n">
        <x:f>AVERAGEIFS('Alle Resultate'!$O$2:$O$161,'Alle Resultate'!$A$2:$A$161,E$33,'Alle Resultate'!$B$2:$B$161,$B52,'Alle Resultate'!$C$2:$C$161,$A52)</x:f>
        <x:v>0.39652992477979476</x:v>
      </x:c>
      <x:c r="F52" s="24" t="n">
        <x:f>AVERAGEIFS('Alle Resultate'!$O$2:$O$161,'Alle Resultate'!$A$2:$A$161,F$33,'Alle Resultate'!$B$2:$B$161,$B52,'Alle Resultate'!$C$2:$C$161,$A52)</x:f>
        <x:v>0.39652992477979476</x:v>
      </x:c>
      <x:c r="G52" s="24" t="n">
        <x:f>AVERAGEIFS('Alle Resultate'!$O$2:$O$161,'Alle Resultate'!$A$2:$A$161,G$33,'Alle Resultate'!$B$2:$B$161,$B52,'Alle Resultate'!$C$2:$C$161,$A52)</x:f>
        <x:v>0.3964186174051522</x:v>
      </x:c>
      <x:c r="H52" s="24" t="n">
        <x:f>AVERAGEIFS('Alle Resultate'!$O$2:$O$161,'Alle Resultate'!$A$2:$A$161,H$33,'Alle Resultate'!$B$2:$B$161,$B52,'Alle Resultate'!$C$2:$C$161,$A52)</x:f>
        <x:v>0.3912915996300972</x:v>
      </x:c>
      <x:c r="I52" s="24" t="n">
        <x:f>AVERAGEIFS('Alle Resultate'!$O$2:$O$161,'Alle Resultate'!$A$2:$A$161,I$33,'Alle Resultate'!$B$2:$B$161,$B52,'Alle Resultate'!$C$2:$C$161,$A52)</x:f>
        <x:v>0.40076081741971725</x:v>
      </x:c>
      <x:c r="J52" s="24" t="n">
        <x:f>AVERAGEIFS('Alle Resultate'!$O$2:$O$161,'Alle Resultate'!$A$2:$A$161,J$33,'Alle Resultate'!$B$2:$B$161,$B52,'Alle Resultate'!$C$2:$C$161,$A52)</x:f>
        <x:v>0.39174401142861004</x:v>
      </x:c>
      <x:c r="K52" s="69" t="n">
        <x:f>MAX(C52:J52)</x:f>
        <x:v>0.40076081741971725</x:v>
      </x:c>
      <x:c r="L52" s="70" t="str">
        <x:f>INDEX($C$33:$J$33,1,MATCH(K52,C52:J52,0))</x:f>
        <x:v>savgol</x:v>
      </x:c>
    </x:row>
    <x:row r="53">
      <x:c r="A53" s="57" t="str">
        <x:v>ttn</x:v>
      </x:c>
      <x:c r="B53" s="57" t="str">
        <x:v>msms_neg</x:v>
      </x:c>
      <x:c r="C53" s="58" t="n">
        <x:f>AVERAGEIFS('Alle Resultate'!$O$2:$O$161,'Alle Resultate'!$A$2:$A$161,C$33,'Alle Resultate'!$B$2:$B$161,$B53,'Alle Resultate'!$C$2:$C$161,$A53)</x:f>
        <x:v>0.3955545458274722</x:v>
      </x:c>
      <x:c r="D53" s="58" t="n">
        <x:f>AVERAGEIFS('Alle Resultate'!$O$2:$O$161,'Alle Resultate'!$A$2:$A$161,D$33,'Alle Resultate'!$B$2:$B$161,$B53,'Alle Resultate'!$C$2:$C$161,$A53)</x:f>
        <x:v>0.39646702921813026</x:v>
      </x:c>
      <x:c r="E53" s="58" t="n">
        <x:f>AVERAGEIFS('Alle Resultate'!$O$2:$O$161,'Alle Resultate'!$A$2:$A$161,E$33,'Alle Resultate'!$B$2:$B$161,$B53,'Alle Resultate'!$C$2:$C$161,$A53)</x:f>
        <x:v>0.39554218845311023</x:v>
      </x:c>
      <x:c r="F53" s="58" t="n">
        <x:f>AVERAGEIFS('Alle Resultate'!$O$2:$O$161,'Alle Resultate'!$A$2:$A$161,F$33,'Alle Resultate'!$B$2:$B$161,$B53,'Alle Resultate'!$C$2:$C$161,$A53)</x:f>
        <x:v>0.39554218845311023</x:v>
      </x:c>
      <x:c r="G53" s="58" t="n">
        <x:f>AVERAGEIFS('Alle Resultate'!$O$2:$O$161,'Alle Resultate'!$A$2:$A$161,G$33,'Alle Resultate'!$B$2:$B$161,$B53,'Alle Resultate'!$C$2:$C$161,$A53)</x:f>
        <x:v>0.3959646492572106</x:v>
      </x:c>
      <x:c r="H53" s="58" t="n">
        <x:f>AVERAGEIFS('Alle Resultate'!$O$2:$O$161,'Alle Resultate'!$A$2:$A$161,H$33,'Alle Resultate'!$B$2:$B$161,$B53,'Alle Resultate'!$C$2:$C$161,$A53)</x:f>
        <x:v>0.39513147090385287</x:v>
      </x:c>
      <x:c r="I53" s="58" t="n">
        <x:f>AVERAGEIFS('Alle Resultate'!$O$2:$O$161,'Alle Resultate'!$A$2:$A$161,I$33,'Alle Resultate'!$B$2:$B$161,$B53,'Alle Resultate'!$C$2:$C$161,$A53)</x:f>
        <x:v>0.39534406430441127</x:v>
      </x:c>
      <x:c r="J53" s="58" t="n">
        <x:f>AVERAGEIFS('Alle Resultate'!$O$2:$O$161,'Alle Resultate'!$A$2:$A$161,J$33,'Alle Resultate'!$B$2:$B$161,$B53,'Alle Resultate'!$C$2:$C$161,$A53)</x:f>
        <x:v>0.39663761376390677</x:v>
      </x:c>
      <x:c r="K53" s="71" t="n">
        <x:f>MAX(C53:J53)</x:f>
        <x:v>0.39663761376390677</x:v>
      </x:c>
      <x:c r="L53" s="72" t="str">
        <x:f>INDEX($C$33:$J$33,1,MATCH(K53,C53:J53,0))</x:f>
        <x:v>gaussian</x:v>
      </x:c>
    </x:row>
  </x:sheetData>
  <x:conditionalFormatting sqref="C9:J2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C34:J53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0" hidden="0" customWidth="1"/>
    <x:col min="2" max="2" width="9.4399995803833" hidden="0" customWidth="1"/>
    <x:col min="3" max="3" width="8.329999923706055" hidden="0" customWidth="1"/>
    <x:col min="4" max="4" width="7.329999923706055" hidden="0" customWidth="1"/>
    <x:col min="5" max="5" width="6.440000057220459" hidden="0" customWidth="1"/>
    <x:col min="6" max="6" width="10.329999923706055" hidden="0" customWidth="1"/>
    <x:col min="7" max="7" width="24" hidden="0" customWidth="1"/>
  </x:cols>
  <x:sheetData>
    <x:row r="2">
      <x:c r="A2" s="49" t="str">
        <x:v>Run-Status und Datenabdeckung</x:v>
      </x:c>
      <x:c r="B2" s="23"/>
      <x:c r="C2" s="23"/>
      <x:c r="D2" s="23"/>
      <x:c r="E2" s="23"/>
      <x:c r="F2" s="23"/>
      <x:c r="G2" s="23"/>
      <x:c r="H2" s="23"/>
    </x:row>
    <x:row r="3">
      <x:c r="A3" s="50" t="str">
        <x:v>Cluster-Snapshot 2026-10-24 20:49 CEST · vollständig = 20/20 Resultate</x:v>
      </x:c>
      <x:c r="B3" s="50"/>
      <x:c r="C3" s="50"/>
      <x:c r="D3" s="50"/>
      <x:c r="E3" s="50"/>
      <x:c r="F3" s="50"/>
      <x:c r="G3" s="50"/>
      <x:c r="H3" s="50"/>
    </x:row>
    <x:row r="4">
      <x:c r="A4" s="51"/>
      <x:c r="B4" s="51"/>
      <x:c r="C4" s="51"/>
      <x:c r="D4" s="51"/>
      <x:c r="E4" s="51"/>
      <x:c r="F4" s="51"/>
      <x:c r="G4" s="51"/>
      <x:c r="H4" s="51"/>
    </x:row>
    <x:row r="5">
      <x:c r="A5" s="23"/>
      <x:c r="B5" s="23"/>
      <x:c r="C5" s="23"/>
      <x:c r="D5" s="23"/>
      <x:c r="E5" s="23"/>
      <x:c r="F5" s="23"/>
      <x:c r="G5" s="23"/>
      <x:c r="H5" s="23"/>
    </x:row>
    <x:row r="6">
      <x:c r="A6" s="17" t="str">
        <x:v>Preprocessing</x:v>
      </x:c>
      <x:c r="B6" s="18" t="str">
        <x:v>Resultate</x:v>
      </x:c>
      <x:c r="C6" s="18" t="str">
        <x:v>Status</x:v>
      </x:c>
      <x:c r="D6" s="18" t="str">
        <x:v>Job-ID</x:v>
      </x:c>
      <x:c r="E6" s="18" t="str">
        <x:v>Node</x:v>
      </x:c>
      <x:c r="F6" s="18" t="str">
        <x:v>SLURM</x:v>
      </x:c>
      <x:c r="G6" s="19" t="str">
        <x:v>Grund</x:v>
      </x:c>
      <x:c r="H6" s="23"/>
    </x:row>
    <x:row r="7">
      <x:c r="A7" s="53" t="str">
        <x:v>none</x:v>
      </x:c>
      <x:c r="B7" s="53" t="n">
        <x:v>20</x:v>
      </x:c>
      <x:c r="C7" s="53" t="str">
        <x:v>vollständig</x:v>
      </x:c>
      <x:c r="D7" s="53"/>
      <x:c r="E7" s="53"/>
      <x:c r="F7" s="53" t="str">
        <x:v>COMPLETED</x:v>
      </x:c>
      <x:c r="G7" s="53"/>
      <x:c r="H7" s="23"/>
    </x:row>
    <x:row r="8">
      <x:c r="A8" s="53" t="str">
        <x:v>snv</x:v>
      </x:c>
      <x:c r="B8" s="53" t="n">
        <x:v>20</x:v>
      </x:c>
      <x:c r="C8" s="53" t="str">
        <x:v>vollständig</x:v>
      </x:c>
      <x:c r="D8" s="53"/>
      <x:c r="E8" s="53"/>
      <x:c r="F8" s="53" t="str">
        <x:v>COMPLETED</x:v>
      </x:c>
      <x:c r="G8" s="53"/>
      <x:c r="H8" s="23"/>
    </x:row>
    <x:row r="9">
      <x:c r="A9" s="53" t="str">
        <x:v>minmax</x:v>
      </x:c>
      <x:c r="B9" s="53" t="n">
        <x:v>20</x:v>
      </x:c>
      <x:c r="C9" s="53" t="str">
        <x:v>vollständig</x:v>
      </x:c>
      <x:c r="D9" s="53"/>
      <x:c r="E9" s="53"/>
      <x:c r="F9" s="53" t="str">
        <x:v>COMPLETED</x:v>
      </x:c>
      <x:c r="G9" s="53"/>
      <x:c r="H9" s="23"/>
    </x:row>
    <x:row r="10">
      <x:c r="A10" s="53" t="str">
        <x:v>max</x:v>
      </x:c>
      <x:c r="B10" s="53" t="n">
        <x:v>20</x:v>
      </x:c>
      <x:c r="C10" s="53" t="str">
        <x:v>vollständig</x:v>
      </x:c>
      <x:c r="D10" s="53"/>
      <x:c r="E10" s="53"/>
      <x:c r="F10" s="53" t="str">
        <x:v>COMPLETED</x:v>
      </x:c>
      <x:c r="G10" s="53"/>
      <x:c r="H10" s="23"/>
    </x:row>
    <x:row r="11">
      <x:c r="A11" s="53" t="str">
        <x:v>area</x:v>
      </x:c>
      <x:c r="B11" s="53" t="n">
        <x:v>20</x:v>
      </x:c>
      <x:c r="C11" s="53" t="str">
        <x:v>vollständig</x:v>
      </x:c>
      <x:c r="D11" s="53"/>
      <x:c r="E11" s="53"/>
      <x:c r="F11" s="53" t="str">
        <x:v>COMPLETED</x:v>
      </x:c>
      <x:c r="G11" s="53"/>
      <x:c r="H11" s="23"/>
    </x:row>
    <x:row r="12">
      <x:c r="A12" s="53" t="str">
        <x:v>l2</x:v>
      </x:c>
      <x:c r="B12" s="53" t="n">
        <x:v>20</x:v>
      </x:c>
      <x:c r="C12" s="53" t="str">
        <x:v>vollständig</x:v>
      </x:c>
      <x:c r="D12" s="53"/>
      <x:c r="E12" s="53"/>
      <x:c r="F12" s="53" t="str">
        <x:v>COMPLETED</x:v>
      </x:c>
      <x:c r="G12" s="53"/>
      <x:c r="H12" s="23"/>
    </x:row>
    <x:row r="13">
      <x:c r="A13" s="53" t="str">
        <x:v>savgol</x:v>
      </x:c>
      <x:c r="B13" s="53" t="n">
        <x:v>20</x:v>
      </x:c>
      <x:c r="C13" s="53" t="str">
        <x:v>vollständig</x:v>
      </x:c>
      <x:c r="D13" s="53"/>
      <x:c r="E13" s="53"/>
      <x:c r="F13" s="53" t="str">
        <x:v>COMPLETED</x:v>
      </x:c>
      <x:c r="G13" s="53"/>
      <x:c r="H13" s="23"/>
    </x:row>
    <x:row r="14">
      <x:c r="A14" s="53" t="str">
        <x:v>gaussian</x:v>
      </x:c>
      <x:c r="B14" s="53" t="n">
        <x:v>20</x:v>
      </x:c>
      <x:c r="C14" s="53" t="str">
        <x:v>vollständig</x:v>
      </x:c>
      <x:c r="D14" s="53"/>
      <x:c r="E14" s="53"/>
      <x:c r="F14" s="53" t="str">
        <x:v>COMPLETED</x:v>
      </x:c>
      <x:c r="G14" s="53"/>
      <x:c r="H14" s="23"/>
    </x:row>
    <x:row r="15">
      <x:c r="A15" s="77" t="str">
        <x:v>quantile</x:v>
      </x:c>
      <x:c r="B15" s="77" t="n">
        <x:v>10</x:v>
      </x:c>
      <x:c r="C15" s="77" t="str">
        <x:v>läuft</x:v>
      </x:c>
      <x:c r="D15" s="77" t="n">
        <x:v>155951</x:v>
      </x:c>
      <x:c r="E15" s="77" t="str">
        <x:v>fresko</x:v>
      </x:c>
      <x:c r="F15" s="77" t="str">
        <x:v>RUNNING</x:v>
      </x:c>
      <x:c r="G15" s="77"/>
      <x:c r="H15" s="23"/>
    </x:row>
    <x:row r="16">
      <x:c r="A16" s="77" t="str">
        <x:v>pqn</x:v>
      </x:c>
      <x:c r="B16" s="77" t="n">
        <x:v>7</x:v>
      </x:c>
      <x:c r="C16" s="77" t="str">
        <x:v>läuft</x:v>
      </x:c>
      <x:c r="D16" s="77" t="n">
        <x:v>155952</x:v>
      </x:c>
      <x:c r="E16" s="77" t="str">
        <x:v>fresko</x:v>
      </x:c>
      <x:c r="F16" s="77" t="str">
        <x:v>RUNNING</x:v>
      </x:c>
      <x:c r="G16" s="77"/>
      <x:c r="H16" s="23"/>
    </x:row>
    <x:row r="17">
      <x:c r="A17" s="77" t="str">
        <x:v>moving_average</x:v>
      </x:c>
      <x:c r="B17" s="77" t="n">
        <x:v>11</x:v>
      </x:c>
      <x:c r="C17" s="77" t="str">
        <x:v>läuft</x:v>
      </x:c>
      <x:c r="D17" s="77" t="n">
        <x:v>155965</x:v>
      </x:c>
      <x:c r="E17" s="77" t="str">
        <x:v>sanjose</x:v>
      </x:c>
      <x:c r="F17" s="77" t="str">
        <x:v>RUNNING</x:v>
      </x:c>
      <x:c r="G17" s="77"/>
      <x:c r="H17" s="23"/>
    </x:row>
    <x:row r="18">
      <x:c r="A18" s="77" t="str">
        <x:v>lorentz</x:v>
      </x:c>
      <x:c r="B18" s="77" t="n">
        <x:v>2</x:v>
      </x:c>
      <x:c r="C18" s="77" t="str">
        <x:v>läuft</x:v>
      </x:c>
      <x:c r="D18" s="77" t="n">
        <x:v>156254</x:v>
      </x:c>
      <x:c r="E18" s="77" t="str">
        <x:v>sanjose</x:v>
      </x:c>
      <x:c r="F18" s="77" t="str">
        <x:v>RUNNING</x:v>
      </x:c>
      <x:c r="G18" s="77"/>
      <x:c r="H18" s="23"/>
    </x:row>
    <x:row r="19">
      <x:c r="A19" s="77" t="str">
        <x:v>sqrt</x:v>
      </x:c>
      <x:c r="B19" s="77" t="n">
        <x:v>2</x:v>
      </x:c>
      <x:c r="C19" s="77" t="str">
        <x:v>läuft</x:v>
      </x:c>
      <x:c r="D19" s="77" t="n">
        <x:v>156259</x:v>
      </x:c>
      <x:c r="E19" s="77" t="str">
        <x:v>sanjose</x:v>
      </x:c>
      <x:c r="F19" s="77" t="str">
        <x:v>RUNNING</x:v>
      </x:c>
      <x:c r="G19" s="77"/>
      <x:c r="H19" s="23"/>
    </x:row>
    <x:row r="20">
      <x:c r="A20" s="78" t="str">
        <x:v>log1p</x:v>
      </x:c>
      <x:c r="B20" s="78" t="n">
        <x:v>0</x:v>
      </x:c>
      <x:c r="C20" s="78" t="str">
        <x:v>wartet</x:v>
      </x:c>
      <x:c r="D20" s="78" t="n">
        <x:v>156260</x:v>
      </x:c>
      <x:c r="E20" s="78"/>
      <x:c r="F20" s="78" t="str">
        <x:v>PENDING</x:v>
      </x:c>
      <x:c r="G20" s="78" t="str">
        <x:v>AssocMaxJobsLimit</x:v>
      </x:c>
      <x:c r="H20" s="23"/>
    </x:row>
    <x:row r="21">
      <x:c r="A21" s="78" t="str">
        <x:v>derivative</x:v>
      </x:c>
      <x:c r="B21" s="78" t="n">
        <x:v>0</x:v>
      </x:c>
      <x:c r="C21" s="78" t="str">
        <x:v>wartet</x:v>
      </x:c>
      <x:c r="D21" s="78" t="n">
        <x:v>156261</x:v>
      </x:c>
      <x:c r="E21" s="78"/>
      <x:c r="F21" s="78" t="str">
        <x:v>PENDING</x:v>
      </x:c>
      <x:c r="G21" s="78" t="str">
        <x:v>AssocMaxJobsLimit</x:v>
      </x:c>
      <x:c r="H21" s="23"/>
    </x:row>
    <x:row r="22">
      <x:c r="A22" s="78" t="str">
        <x:v>bin_mean</x:v>
      </x:c>
      <x:c r="B22" s="78" t="n">
        <x:v>0</x:v>
      </x:c>
      <x:c r="C22" s="78" t="str">
        <x:v>wartet</x:v>
      </x:c>
      <x:c r="D22" s="78" t="n">
        <x:v>156262</x:v>
      </x:c>
      <x:c r="E22" s="78"/>
      <x:c r="F22" s="78" t="str">
        <x:v>PENDING</x:v>
      </x:c>
      <x:c r="G22" s="78" t="str">
        <x:v>AssocMaxJobsLimit</x:v>
      </x:c>
      <x:c r="H22" s="23"/>
    </x:row>
    <x:row r="23">
      <x:c r="A23" s="78" t="str">
        <x:v>bin_max</x:v>
      </x:c>
      <x:c r="B23" s="78" t="n">
        <x:v>0</x:v>
      </x:c>
      <x:c r="C23" s="78" t="str">
        <x:v>wartet</x:v>
      </x:c>
      <x:c r="D23" s="78" t="n">
        <x:v>156263</x:v>
      </x:c>
      <x:c r="E23" s="78"/>
      <x:c r="F23" s="78" t="str">
        <x:v>PENDING</x:v>
      </x:c>
      <x:c r="G23" s="78" t="str">
        <x:v>AssocMaxJobsLimit</x:v>
      </x:c>
      <x:c r="H23" s="23"/>
    </x:row>
    <x:row r="24">
      <x:c r="A24" s="78" t="str">
        <x:v>fir</x:v>
      </x:c>
      <x:c r="B24" s="78" t="n">
        <x:v>0</x:v>
      </x:c>
      <x:c r="C24" s="78" t="str">
        <x:v>wartet</x:v>
      </x:c>
      <x:c r="D24" s="78" t="n">
        <x:v>156264</x:v>
      </x:c>
      <x:c r="E24" s="78"/>
      <x:c r="F24" s="78" t="str">
        <x:v>PENDING</x:v>
      </x:c>
      <x:c r="G24" s="78" t="str">
        <x:v>AssocMaxJobsLimit</x:v>
      </x:c>
      <x:c r="H24" s="23"/>
    </x:row>
  </x:sheetData>
  <x:pageMargins left="0.7" right="0.7" top="0.75" bottom="0.75" header="0.3" footer="0.3"/>
  <x:tableParts count="1">
    <x:tablePart xmlns:r="http://schemas.openxmlformats.org/officeDocument/2006/relationships" r:id="Rb9f909b689ab494f"/>
  </x:tableParts>
</x:worksheet>
</file>

<file path=xl/worksheets/sheet5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7" hidden="0" customWidth="1"/>
    <x:col min="2" max="2" width="105" hidden="0" customWidth="1"/>
  </x:cols>
  <x:sheetData>
    <x:row r="2">
      <x:c r="A2" s="49" t="str">
        <x:v>Methodik und Quellen</x:v>
      </x:c>
      <x:c r="B2" s="23"/>
      <x:c r="C2" s="23"/>
      <x:c r="D2" s="23"/>
      <x:c r="E2" s="23"/>
      <x:c r="F2" s="23"/>
    </x:row>
    <x:row r="3">
      <x:c r="A3" s="50" t="str">
        <x:v>Wie die Kennzahlen aus den gespeicherten Trainer-Ausgaben gelesen wurden</x:v>
      </x:c>
      <x:c r="B3" s="50"/>
      <x:c r="C3" s="50"/>
      <x:c r="D3" s="50"/>
      <x:c r="E3" s="50"/>
      <x:c r="F3" s="50"/>
    </x:row>
    <x:row r="4">
      <x:c r="A4" s="51"/>
      <x:c r="B4" s="51"/>
      <x:c r="C4" s="51"/>
      <x:c r="D4" s="51"/>
      <x:c r="E4" s="51"/>
      <x:c r="F4" s="51"/>
    </x:row>
    <x:row r="5">
      <x:c r="A5" s="23"/>
      <x:c r="B5" s="23"/>
      <x:c r="C5" s="23"/>
      <x:c r="D5" s="23"/>
      <x:c r="E5" s="23"/>
      <x:c r="F5" s="23"/>
    </x:row>
    <x:row r="6">
      <x:c r="A6" s="17" t="str">
        <x:v>Thema</x:v>
      </x:c>
      <x:c r="B6" s="19" t="str">
        <x:v>Definition / Quelle</x:v>
      </x:c>
      <x:c r="C6" s="23"/>
      <x:c r="D6" s="23"/>
      <x:c r="E6" s="23"/>
      <x:c r="F6" s="23"/>
    </x:row>
    <x:row r="7" ht="32" customHeight="1">
      <x:c r="A7" s="49" t="str">
        <x:v>Auswertungsumfang</x:v>
      </x:c>
      <x:c r="B7" s="86" t="str">
        <x:v>Acht vollständig abgeschlossene Preprocessing-Parameter; je 4 ML-Modelle × 5 Spektren = 20 Resultate.</x:v>
      </x:c>
      <x:c r="C7" s="23"/>
      <x:c r="D7" s="23"/>
      <x:c r="E7" s="23"/>
      <x:c r="F7" s="23"/>
    </x:row>
    <x:row r="8" ht="32" customHeight="1">
      <x:c r="A8" s="49" t="str">
        <x:v>Validation F1 – CNN/XGBoost</x:v>
      </x:c>
      <x:c r="B8" s="86" t="str">
        <x:v>training_logs.csv, Zeile event=training_finished.</x:v>
      </x:c>
      <x:c r="C8" s="23"/>
      <x:c r="D8" s="23"/>
      <x:c r="E8" s="23"/>
      <x:c r="F8" s="23"/>
    </x:row>
    <x:row r="9" ht="32" customHeight="1">
      <x:c r="A9" s="49" t="str">
        <x:v>Validation F1 – MPS</x:v>
      </x:c>
      <x:c r="B9" s="86" t="str">
        <x:v>summary.txt, Abschnitt Best Fold Checkpoint.</x:v>
      </x:c>
      <x:c r="C9" s="23"/>
      <x:c r="D9" s="23"/>
      <x:c r="E9" s="23"/>
      <x:c r="F9" s="23"/>
    </x:row>
    <x:row r="10" ht="32" customHeight="1">
      <x:c r="A10" s="49" t="str">
        <x:v>Validation F1 – TTN</x:v>
      </x:c>
      <x:c r="B10" s="86" t="str">
        <x:v>training_log.csv in der in summary.txt angegebenen Best epoch.</x:v>
      </x:c>
      <x:c r="C10" s="23"/>
      <x:c r="D10" s="23"/>
      <x:c r="E10" s="23"/>
      <x:c r="F10" s="23"/>
    </x:row>
    <x:row r="11" ht="32" customHeight="1">
      <x:c r="A11" s="49" t="str">
        <x:v>Test F1</x:v>
      </x:c>
      <x:c r="B11" s="86" t="str">
        <x:v>metrics.json; Micro und Macro sind die gespeicherten Abschlusswerte.</x:v>
      </x:c>
      <x:c r="C11" s="23"/>
      <x:c r="D11" s="23"/>
      <x:c r="E11" s="23"/>
      <x:c r="F11" s="23"/>
    </x:row>
    <x:row r="12" ht="32" customHeight="1">
      <x:c r="A12" s="49" t="str">
        <x:v>F1 blend</x:v>
      </x:c>
      <x:c r="B12" s="86" t="str">
        <x:v>Arithmetischer Mittelwert aus F1 micro und F1 macro; dient nur zur kompakten Rangierung.</x:v>
      </x:c>
      <x:c r="C12" s="23"/>
      <x:c r="D12" s="23"/>
      <x:c r="E12" s="23"/>
      <x:c r="F12" s="23"/>
    </x:row>
    <x:row r="13" ht="32" customHeight="1">
      <x:c r="A13" s="49" t="str">
        <x:v>Loss / Zusatzmetriken</x:v>
      </x:c>
      <x:c r="B13" s="86" t="str">
        <x:v>Nur eingetragen, wenn der jeweilige Trainer sie in CSV/summary.txt gespeichert hat. Leer bedeutet nicht gespeichert, nicht 0.</x:v>
      </x:c>
      <x:c r="C13" s="23"/>
      <x:c r="D13" s="23"/>
      <x:c r="E13" s="23"/>
      <x:c r="F13" s="23"/>
    </x:row>
    <x:row r="14" ht="32" customHeight="1">
      <x:c r="A14" s="49" t="str">
        <x:v>Best Epoch – CNN</x:v>
      </x:c>
      <x:c r="B14" s="86" t="str">
        <x:v>Log-Epoche mit höchstem Mittel aus Val F1 micro und Val F1 macro; die angezeigten Val-F1-Abschlusswerte stammen trotzdem aus training_finished.</x:v>
      </x:c>
      <x:c r="C14" s="23"/>
      <x:c r="D14" s="23"/>
      <x:c r="E14" s="23"/>
      <x:c r="F14" s="23"/>
    </x:row>
    <x:row r="15" ht="32" customHeight="1">
      <x:c r="A15" s="49" t="str">
        <x:v>Remote-Quelle</x:v>
      </x:c>
      <x:c r="B15" s="86" t="str">
        <x:v>/cluster/home/xkye/spectroscopy-qml-xkye-verdiant/benchmark/preprocessing_training/dim_600/&lt;parameter&gt;/</x:v>
      </x:c>
      <x:c r="C15" s="23"/>
      <x:c r="D15" s="23"/>
      <x:c r="E15" s="23"/>
      <x:c r="F15" s="23"/>
    </x:row>
    <x:row r="16" ht="32" customHeight="1">
      <x:c r="A16" s="87" t="str">
        <x:v>Reproduzierbarkeit</x:v>
      </x:c>
      <x:c r="B16" s="88" t="str">
        <x:v>Input-Dimension 600, Seed 41; Spektren cnmr, hnmr, ir, msms_pos, msms_neg; Modelle cnn, xgboost, mps, ttn.</x:v>
      </x:c>
      <x:c r="C16" s="23"/>
      <x:c r="D16" s="23"/>
      <x:c r="E16" s="23"/>
      <x:c r="F16" s="23"/>
    </x:row>
  </x:sheetData>
  <x:pageMargins left="0.7" right="0.7" top="0.75" bottom="0.75" header="0.3" footer="0.3"/>
</x:worksheet>
</file>