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8bedb1e95d49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e Resultate" sheetId="1" r:id="Rfaa19344732a4bbc"/>
    <x:sheet xmlns:r="http://schemas.openxmlformats.org/officeDocument/2006/relationships" name="Übersicht" sheetId="2" r:id="R7d06d7c6fe37490f"/>
    <x:sheet xmlns:r="http://schemas.openxmlformats.org/officeDocument/2006/relationships" name="Modell x Spektrum" sheetId="3" r:id="Re3d7ab62d354492d"/>
    <x:sheet xmlns:r="http://schemas.openxmlformats.org/officeDocument/2006/relationships" name="Run-Status" sheetId="4" r:id="R60ef431ca5424e21"/>
    <x:sheet xmlns:r="http://schemas.openxmlformats.org/officeDocument/2006/relationships" name="Methodik" sheetId="5" r:id="R57982d6baa4147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"/>
    <x:numFmt numFmtId="202" formatCode="0"/>
  </x:numFmts>
  <x:fonts count="9">
    <x:font>
      <x:sz val="11"/>
      <x:name val="Carlito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6"/>
      <x:color rgb="FF17365D"/>
      <x:name val="Arial"/>
    </x:font>
    <x:font>
      <x:i/>
      <x:sz val="10"/>
      <x:color rgb="FF5B6573"/>
      <x:name val="Arial"/>
    </x:font>
    <x:font>
      <x:i/>
      <x:sz val="10"/>
      <x:color rgb="FF1F2937"/>
      <x:name val="Arial"/>
    </x:font>
    <x:font>
      <x:b/>
      <x:sz val="12"/>
      <x:color rgb="FF17365D"/>
      <x:name val="Arial"/>
    </x:font>
    <x:font>
      <x:b/>
      <x:sz val="10"/>
      <x:color rgb="FF17365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6">
    <x:border>
      <x:left/>
      <x:right/>
      <x:top/>
      <x:bottom/>
      <x:diagonal/>
    </x:border>
    <x:border>
      <x:left/>
      <x:right style="thin">
        <x:color rgb="FFFFFFFF"/>
      </x:right>
      <x:top/>
      <x:bottom style="medium">
        <x:color rgb="FF17365D"/>
      </x:bottom>
      <x:diagonal/>
    </x:border>
    <x:border>
      <x:left style="thin">
        <x:color rgb="FFFFFFFF"/>
      </x:left>
      <x:right style="thin">
        <x:color rgb="FFFFFFFF"/>
      </x:right>
      <x:top/>
      <x:bottom style="medium">
        <x:color rgb="FF17365D"/>
      </x:bottom>
      <x:diagonal/>
    </x:border>
    <x:border>
      <x:left style="thin">
        <x:color rgb="FFFFFFFF"/>
      </x:left>
      <x:right/>
      <x:top/>
      <x:bottom style="medium">
        <x:color rgb="FF17365D"/>
      </x:bottom>
      <x:diagonal/>
    </x:border>
    <x:border>
      <x:left/>
      <x:right/>
      <x:top/>
      <x:bottom style="thin">
        <x:color rgb="FFAAB7C4"/>
      </x:bottom>
      <x:diagonal/>
    </x:border>
    <x:border>
      <x:left/>
      <x:right/>
      <x:top/>
      <x:bottom style="thin">
        <x:color rgb="FFD9E1E8"/>
      </x:bottom>
      <x:diagonal/>
    </x:border>
  </x:borders>
  <x:cellStyleXfs count="1">
    <x:xf numFmtId="0" fontId="0" fillId="0" borderId="0"/>
  </x:cellStyleXfs>
  <x:cellXfs count="9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0" borderId="4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202" fontId="0" fillId="3" borderId="0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200" fontId="0" fillId="4" borderId="5" xfId="0" applyNumberFormat="1" applyFont="1" applyFill="1" applyBorder="1"/>
    <x:xf numFmtId="0" fontId="0" fillId="4" borderId="5" xfId="0" applyNumberFormat="1" applyFont="1" applyFill="1" applyBorder="1"/>
    <x:xf numFmtId="0" fontId="2" fillId="0" borderId="0" xfId="0" applyNumberFormat="1" applyFont="1" applyFill="1" applyBorder="1"/>
    <x:xf numFmtId="0" fontId="6" fillId="0" borderId="0" xfId="0" applyNumberFormat="1" applyFont="1" applyFill="1" applyBorder="1"/>
    <x:xf numFmtId="0" fontId="3" fillId="0" borderId="4" xfId="0" applyNumberFormat="1" applyFont="1" applyFill="1" applyBorder="1"/>
    <x:xf numFmtId="202" fontId="3" fillId="3" borderId="0" xfId="0" applyNumberFormat="1" applyFont="1" applyFill="1" applyBorder="1"/>
    <x:xf numFmtId="0" fontId="3" fillId="3" borderId="0" xfId="0" applyNumberFormat="1" applyFont="1" applyFill="1" applyBorder="1"/>
    <x:xf numFmtId="200" fontId="3" fillId="3" borderId="0" xfId="0" applyNumberFormat="1" applyFont="1" applyFill="1" applyBorder="1"/>
    <x:xf numFmtId="202" fontId="3" fillId="0" borderId="0" xfId="0" applyNumberFormat="1" applyFont="1" applyFill="1" applyBorder="1"/>
    <x:xf numFmtId="202" fontId="3" fillId="0" borderId="5" xfId="0" applyNumberFormat="1" applyFont="1" applyFill="1" applyBorder="1"/>
    <x:xf numFmtId="0" fontId="3" fillId="0" borderId="5" xfId="0" applyNumberFormat="1" applyFont="1" applyFill="1" applyBorder="1"/>
    <x:xf numFmtId="200" fontId="3" fillId="0" borderId="5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200" fontId="3" fillId="4" borderId="5" xfId="0" applyNumberFormat="1" applyFont="1" applyFill="1" applyBorder="1"/>
    <x:xf numFmtId="0" fontId="3" fillId="4" borderId="5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2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3" fillId="0" borderId="5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0" fontId="3" fillId="4" borderId="5" xfId="0" applyNumberFormat="1" applyFont="1" applyFill="1" applyBorder="1" applyAlignment="1">
      <x:alignment vertical="center"/>
    </x:xf>
    <x:xf numFmtId="0" fontId="3" fillId="4" borderId="5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200" fontId="0" fillId="5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5" xfId="0" applyNumberFormat="1" applyFont="1" applyFill="1" applyBorder="1"/>
    <x:xf numFmtId="0" fontId="0" fillId="5" borderId="5" xfId="0" applyNumberFormat="1" applyFont="1" applyFill="1" applyBorder="1"/>
    <x:xf numFmtId="200" fontId="3" fillId="5" borderId="0" xfId="0" applyNumberFormat="1" applyFont="1" applyFill="1" applyBorder="1"/>
    <x:xf numFmtId="0" fontId="3" fillId="5" borderId="0" xfId="0" applyNumberFormat="1" applyFont="1" applyFill="1" applyBorder="1"/>
    <x:xf numFmtId="200" fontId="3" fillId="5" borderId="5" xfId="0" applyNumberFormat="1" applyFont="1" applyFill="1" applyBorder="1"/>
    <x:xf numFmtId="0" fontId="3" fillId="5" borderId="5" xfId="0" applyNumberFormat="1" applyFont="1" applyFill="1" applyBorder="1"/>
    <x:xf numFmtId="20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200" fontId="3" fillId="5" borderId="5" xfId="0" applyNumberFormat="1" applyFont="1" applyFill="1" applyBorder="1" applyAlignment="1">
      <x:alignment vertical="center"/>
    </x:xf>
    <x:xf numFmtId="0" fontId="3" fillId="5" borderId="5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8" fillId="0" borderId="5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2" fillId="0" borderId="5" xfId="0" applyNumberFormat="1" applyFont="1" applyFill="1" applyBorder="1"/>
    <x:xf numFmtId="0" fontId="3" fillId="0" borderId="5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c3510e3e2e4f5a" /><Relationship Type="http://schemas.openxmlformats.org/officeDocument/2006/relationships/theme" Target="/xl/theme/theme1.xml" Id="Rfe88c65830974349" /><Relationship Type="http://schemas.openxmlformats.org/officeDocument/2006/relationships/sharedStrings" Target="/xl/sharedStrings.xml" Id="Rbb33c00324d14a4d" /><Relationship Type="http://schemas.openxmlformats.org/officeDocument/2006/relationships/worksheet" Target="/xl/worksheets/sheet1.xml" Id="Rfaa19344732a4bbc" /><Relationship Type="http://schemas.openxmlformats.org/officeDocument/2006/relationships/worksheet" Target="/xl/worksheets/sheet2.xml" Id="R7d06d7c6fe37490f" /><Relationship Type="http://schemas.openxmlformats.org/officeDocument/2006/relationships/worksheet" Target="/xl/worksheets/sheet3.xml" Id="Re3d7ab62d354492d" /><Relationship Type="http://schemas.openxmlformats.org/officeDocument/2006/relationships/worksheet" Target="/xl/worksheets/sheet4.xml" Id="R60ef431ca5424e21" /><Relationship Type="http://schemas.openxmlformats.org/officeDocument/2006/relationships/worksheet" Target="/xl/worksheets/sheet5.xml" Id="R57982d6baa4147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7aec60a0e1a41f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Durchschnittliche Validation-F1-Werte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Val micro</c:v>
          </c:tx>
          <c:spPr>
            <a:solidFill xmlns:a="http://schemas.openxmlformats.org/drawingml/2006/main">
              <a:srgbClr val="5B9BD5"/>
            </a:solidFill>
          </c:spPr>
          <c:invertIfNegative val="0"/>
          <c:cat>
            <c:strRef>
              <c:f>'Übersicht'!$J$7:$J$24</c:f>
              <c:strCache>
                <c:ptCount val="0"/>
              </c:strCache>
            </c:strRef>
          </c:cat>
          <c:val>
            <c:numRef>
              <c:f>'Übersicht'!$K$7:$K$24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Val macro</c:v>
          </c:tx>
          <c:spPr>
            <a:solidFill xmlns:a="http://schemas.openxmlformats.org/drawingml/2006/main">
              <a:srgbClr val="ED7D31"/>
            </a:solidFill>
          </c:spPr>
          <c:invertIfNegative val="0"/>
          <c:cat>
            <c:strRef>
              <c:f>'Übersicht'!$J$7:$J$24</c:f>
              <c:strCache>
                <c:ptCount val="0"/>
              </c:strCache>
            </c:strRef>
          </c:cat>
          <c:val>
            <c:numRef>
              <c:f>'Übersicht'!$L$7:$L$24</c:f>
              <c:numCache>
                <c:formatCode>0.0000</c:formatCode>
                <c:ptCount val="0"/>
              </c:numCache>
            </c:numRef>
          </c:val>
        </c:ser>
        <c:ser>
          <c:idx val="2"/>
          <c:order val="2"/>
          <c:tx>
            <c:v>Val blend</c:v>
          </c:tx>
          <c:spPr>
            <a:solidFill xmlns:a="http://schemas.openxmlformats.org/drawingml/2006/main">
              <a:srgbClr val="70AD47"/>
            </a:solidFill>
          </c:spPr>
          <c:invertIfNegative val="0"/>
          <c:cat>
            <c:strRef>
              <c:f>'Übersicht'!$J$7:$J$24</c:f>
              <c:strCache>
                <c:ptCount val="0"/>
              </c:strCache>
            </c:strRef>
          </c:cat>
          <c:val>
            <c:numRef>
              <c:f>'Übersicht'!$M$7:$M$24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26</xdr:row>
      <xdr:rowOff>0</xdr:rowOff>
    </xdr:from>
    <xdr:to>
      <xdr:col>22</xdr:col>
      <xdr:colOff>0</xdr:colOff>
      <xdr:row>47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aec60a0e1a41f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llResultsTable" displayName="AllResultsTable" ref="A1:Z361" headerRowCount="1" totalsRowCount="0" totalsRowShown="0">
  <x:tableColumns count="26">
    <x:tableColumn id="1" name="Preprocessing"/>
    <x:tableColumn id="2" name="Spektrum"/>
    <x:tableColumn id="3" name="ML-Modell"/>
    <x:tableColumn id="4" name="Seed"/>
    <x:tableColumn id="5" name="Input-Dimension"/>
    <x:tableColumn id="6" name="Train n"/>
    <x:tableColumn id="7" name="Validation n"/>
    <x:tableColumn id="8" name="Test n"/>
    <x:tableColumn id="9" name="Val F1 micro"/>
    <x:tableColumn id="10" name="Val F1 macro"/>
    <x:tableColumn id="11" name="Val F1 blend"/>
    <x:tableColumn id="12" name="Val Loss"/>
    <x:tableColumn id="13" name="Test F1 micro"/>
    <x:tableColumn id="14" name="Test F1 macro"/>
    <x:tableColumn id="15" name="Test F1 blend"/>
    <x:tableColumn id="16" name="Test Loss"/>
    <x:tableColumn id="17" name="Test Accuracy"/>
    <x:tableColumn id="18" name="Test F1 weighted"/>
    <x:tableColumn id="19" name="Test Precision micro"/>
    <x:tableColumn id="20" name="Test Precision macro"/>
    <x:tableColumn id="21" name="Test Recall micro"/>
    <x:tableColumn id="22" name="Test Recall macro"/>
    <x:tableColumn id="23" name="Best Epoch"/>
    <x:tableColumn id="24" name="Epochen gelaufen"/>
    <x:tableColumn id="25" name="Trainingszeit (min)"/>
    <x:tableColumn id="26" name="Quelldate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unStatusTable" displayName="RunStatusTable" ref="A6:G24" headerRowCount="1" totalsRowCount="0" totalsRowShown="0">
  <x:tableColumns count="7">
    <x:tableColumn id="1" name="Preprocessing"/>
    <x:tableColumn id="2" name="Resultate"/>
    <x:tableColumn id="3" name="Status"/>
    <x:tableColumn id="4" name="Job-ID"/>
    <x:tableColumn id="5" name="Node"/>
    <x:tableColumn id="6" name="SLURM"/>
    <x:tableColumn id="7" name="Grun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5a7aa504a3472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e5a0106062b47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c05960d480948c5" /></Relationships>
</file>

<file path=xl/worksheets/sheet1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6.21999979019165" hidden="0" customWidth="1"/>
    <x:col min="5" max="5" width="14.4399995803833" hidden="0" customWidth="1"/>
    <x:col min="6" max="6" width="7.559999942779541" hidden="0" customWidth="1"/>
    <x:col min="7" max="7" width="11" hidden="0" customWidth="1"/>
    <x:col min="8" max="8" width="7" hidden="0" customWidth="1"/>
    <x:col min="9" max="9" width="11.4399995803833" hidden="0" customWidth="1"/>
    <x:col min="10" max="10" width="11.890000343322754" hidden="0" customWidth="1"/>
    <x:col min="11" max="11" width="11.329999923706055" hidden="0" customWidth="1"/>
    <x:col min="12" max="12" width="8.779999732971191" hidden="0" customWidth="1"/>
    <x:col min="13" max="13" width="12.220000267028809" hidden="0" customWidth="1"/>
    <x:col min="14" max="14" width="12.670000076293945" hidden="0" customWidth="1"/>
    <x:col min="15" max="15" width="12.109999656677246" hidden="0" customWidth="1"/>
    <x:col min="16" max="16" width="9.5600004196167" hidden="0" customWidth="1"/>
    <x:col min="17" max="17" width="12.779999732971191" hidden="0" customWidth="1"/>
    <x:col min="18" max="18" width="14.670000076293945" hidden="0" customWidth="1"/>
    <x:col min="19" max="19" width="17.219999313354492" hidden="0" customWidth="1"/>
    <x:col min="20" max="20" width="17.559999465942383" hidden="0" customWidth="1"/>
    <x:col min="21" max="21" width="14.890000343322754" hidden="0" customWidth="1"/>
    <x:col min="22" max="22" width="15.329999923706055" hidden="0" customWidth="1"/>
    <x:col min="23" max="23" width="10.890000343322754" hidden="0" customWidth="1"/>
    <x:col min="24" max="24" width="15.4399995803833" hidden="0" customWidth="1"/>
    <x:col min="25" max="25" width="15.779999732971191" hidden="0" customWidth="1"/>
    <x:col min="26" max="26" width="52" hidden="0" customWidth="1"/>
  </x:cols>
  <x:sheetData>
    <x:row r="1" ht="32" customHeight="1">
      <x:c r="A1" s="17" t="str">
        <x:v>Preprocessing</x:v>
      </x:c>
      <x:c r="B1" s="18" t="str">
        <x:v>Spektrum</x:v>
      </x:c>
      <x:c r="C1" s="18" t="str">
        <x:v>ML-Modell</x:v>
      </x:c>
      <x:c r="D1" s="18" t="str">
        <x:v>Seed</x:v>
      </x:c>
      <x:c r="E1" s="18" t="str">
        <x:v>Input-Dimension</x:v>
      </x:c>
      <x:c r="F1" s="18" t="str">
        <x:v>Train n</x:v>
      </x:c>
      <x:c r="G1" s="18" t="str">
        <x:v>Validation n</x:v>
      </x:c>
      <x:c r="H1" s="18" t="str">
        <x:v>Test n</x:v>
      </x:c>
      <x:c r="I1" s="18" t="str">
        <x:v>Val F1 micro</x:v>
      </x:c>
      <x:c r="J1" s="18" t="str">
        <x:v>Val F1 macro</x:v>
      </x:c>
      <x:c r="K1" s="18" t="str">
        <x:v>Val F1 blend</x:v>
      </x:c>
      <x:c r="L1" s="18" t="str">
        <x:v>Val Loss</x:v>
      </x:c>
      <x:c r="M1" s="18" t="str">
        <x:v>Test F1 micro</x:v>
      </x:c>
      <x:c r="N1" s="18" t="str">
        <x:v>Test F1 macro</x:v>
      </x:c>
      <x:c r="O1" s="18" t="str">
        <x:v>Test F1 blend</x:v>
      </x:c>
      <x:c r="P1" s="18" t="str">
        <x:v>Test Loss</x:v>
      </x:c>
      <x:c r="Q1" s="18" t="str">
        <x:v>Test Accuracy</x:v>
      </x:c>
      <x:c r="R1" s="18" t="str">
        <x:v>Test F1 weighted</x:v>
      </x:c>
      <x:c r="S1" s="18" t="str">
        <x:v>Test Precision micro</x:v>
      </x:c>
      <x:c r="T1" s="18" t="str">
        <x:v>Test Precision macro</x:v>
      </x:c>
      <x:c r="U1" s="18" t="str">
        <x:v>Test Recall micro</x:v>
      </x:c>
      <x:c r="V1" s="18" t="str">
        <x:v>Test Recall macro</x:v>
      </x:c>
      <x:c r="W1" s="18" t="str">
        <x:v>Best Epoch</x:v>
      </x:c>
      <x:c r="X1" s="18" t="str">
        <x:v>Epochen gelaufen</x:v>
      </x:c>
      <x:c r="Y1" s="18" t="str">
        <x:v>Trainingszeit (min)</x:v>
      </x:c>
      <x:c r="Z1" s="19" t="str">
        <x:v>Quelldatei</x:v>
      </x:c>
    </x:row>
    <x:row r="2">
      <x:c r="A2" s="23" t="str">
        <x:v>area</x:v>
      </x:c>
      <x:c r="B2" s="23" t="str">
        <x:v>cnmr</x:v>
      </x:c>
      <x:c r="C2" s="23" t="str">
        <x:v>cnn</x:v>
      </x:c>
      <x:c r="D2" s="23" t="n">
        <x:v>41</x:v>
      </x:c>
      <x:c r="E2" s="23" t="n">
        <x:v>600</x:v>
      </x:c>
      <x:c r="F2" s="23" t="n">
        <x:v>635496</x:v>
      </x:c>
      <x:c r="G2" s="23" t="n">
        <x:v>79450</x:v>
      </x:c>
      <x:c r="H2" s="23" t="n">
        <x:v>79457</x:v>
      </x:c>
      <x:c r="I2" s="24" t="n">
        <x:v>0.6519944979367263</x:v>
      </x:c>
      <x:c r="J2" s="24" t="n">
        <x:v>0.12860998768808338</x:v>
      </x:c>
      <x:c r="K2" s="24" t="n">
        <x:v>0.39030224281240483</x:v>
      </x:c>
      <x:c r="L2" s="24" t="n">
        <x:v>0.24915635585784912</x:v>
      </x:c>
      <x:c r="M2" s="24" t="n">
        <x:v>0.6513016541143611</x:v>
      </x:c>
      <x:c r="N2" s="24" t="n">
        <x:v>0.13022040588642367</x:v>
      </x:c>
      <x:c r="O2" s="24" t="n">
        <x:v>0.3907610300003924</x:v>
      </x:c>
      <x:c r="P2" s="24"/>
      <x:c r="Q2" s="24"/>
      <x:c r="R2" s="24"/>
      <x:c r="S2" s="24"/>
      <x:c r="T2" s="24"/>
      <x:c r="U2" s="24"/>
      <x:c r="V2" s="24"/>
      <x:c r="W2" s="23" t="n">
        <x:v>41</x:v>
      </x:c>
      <x:c r="X2" s="23" t="n">
        <x:v>56</x:v>
      </x:c>
      <x:c r="Y2" s="25" t="n">
        <x:v>43.00831111811761</x:v>
      </x:c>
      <x:c r="Z2" s="23" t="str">
        <x:v>benchmark/preprocessing_training/dim_600/area/cnmr/seed_41/cnn/cnmr/original/metrics.json</x:v>
      </x:c>
    </x:row>
    <x:row r="3">
      <x:c r="A3" s="23" t="str">
        <x:v>area</x:v>
      </x:c>
      <x:c r="B3" s="23" t="str">
        <x:v>cnmr</x:v>
      </x:c>
      <x:c r="C3" s="23" t="str">
        <x:v>mps</x:v>
      </x:c>
      <x:c r="D3" s="23" t="n">
        <x:v>41</x:v>
      </x:c>
      <x:c r="E3" s="23" t="n">
        <x:v>600</x:v>
      </x:c>
      <x:c r="F3" s="23"/>
      <x:c r="G3" s="23"/>
      <x:c r="H3" s="23"/>
      <x:c r="I3" s="24" t="n">
        <x:v>0.6615</x:v>
      </x:c>
      <x:c r="J3" s="24" t="n">
        <x:v>0.3463</x:v>
      </x:c>
      <x:c r="K3" s="24" t="n">
        <x:v>0.5039</x:v>
      </x:c>
      <x:c r="L3" s="24" t="n">
        <x:v>10.9712</x:v>
      </x:c>
      <x:c r="M3" s="24" t="n">
        <x:v>0.6628918397265687</x:v>
      </x:c>
      <x:c r="N3" s="24" t="n">
        <x:v>0.33619789125777555</x:v>
      </x:c>
      <x:c r="O3" s="24" t="n">
        <x:v>0.49954486549217214</x:v>
      </x:c>
      <x:c r="P3" s="24" t="n">
        <x:v>11.2509</x:v>
      </x:c>
      <x:c r="Q3" s="24" t="n">
        <x:v>0.0413</x:v>
      </x:c>
      <x:c r="R3" s="24" t="n">
        <x:v>0.6931</x:v>
      </x:c>
      <x:c r="S3" s="24" t="n">
        <x:v>0.6125</x:v>
      </x:c>
      <x:c r="T3" s="24" t="n">
        <x:v>0.3122</x:v>
      </x:c>
      <x:c r="U3" s="24" t="n">
        <x:v>0.7224</x:v>
      </x:c>
      <x:c r="V3" s="24" t="n">
        <x:v>0.378</x:v>
      </x:c>
      <x:c r="W3" s="23" t="n">
        <x:v>130</x:v>
      </x:c>
      <x:c r="X3" s="23" t="n">
        <x:v>140</x:v>
      </x:c>
      <x:c r="Y3" s="25" t="n">
        <x:v>246.9</x:v>
      </x:c>
      <x:c r="Z3" s="23" t="str">
        <x:v>benchmark/preprocessing_training/dim_600/area/cnmr/seed_41/mps/results/metrics.json</x:v>
      </x:c>
    </x:row>
    <x:row r="4">
      <x:c r="A4" s="23" t="str">
        <x:v>area</x:v>
      </x:c>
      <x:c r="B4" s="23" t="str">
        <x:v>cnmr</x:v>
      </x:c>
      <x:c r="C4" s="23" t="str">
        <x:v>ttn</x:v>
      </x:c>
      <x:c r="D4" s="23" t="n">
        <x:v>41</x:v>
      </x:c>
      <x:c r="E4" s="23" t="n">
        <x:v>600</x:v>
      </x:c>
      <x:c r="F4" s="23"/>
      <x:c r="G4" s="23"/>
      <x:c r="H4" s="23"/>
      <x:c r="I4" s="24" t="n">
        <x:v>0.7150291547695722</x:v>
      </x:c>
      <x:c r="J4" s="24" t="n">
        <x:v>0.33705031391098583</x:v>
      </x:c>
      <x:c r="K4" s="24" t="n">
        <x:v>0.526039734340279</x:v>
      </x:c>
      <x:c r="L4" s="24" t="n">
        <x:v>0.330561</x:v>
      </x:c>
      <x:c r="M4" s="24" t="n">
        <x:v>0.7163163803853788</x:v>
      </x:c>
      <x:c r="N4" s="24" t="n">
        <x:v>0.33274847221319664</x:v>
      </x:c>
      <x:c r="O4" s="24" t="n">
        <x:v>0.5245324262992878</x:v>
      </x:c>
      <x:c r="P4" s="24" t="n">
        <x:v>0.330102</x:v>
      </x:c>
      <x:c r="Q4" s="24"/>
      <x:c r="R4" s="24"/>
      <x:c r="S4" s="24" t="n">
        <x:v>0.719249</x:v>
      </x:c>
      <x:c r="T4" s="24"/>
      <x:c r="U4" s="24" t="n">
        <x:v>0.713408</x:v>
      </x:c>
      <x:c r="V4" s="24"/>
      <x:c r="W4" s="23" t="n">
        <x:v>46</x:v>
      </x:c>
      <x:c r="X4" s="23" t="n">
        <x:v>66</x:v>
      </x:c>
      <x:c r="Y4" s="25" t="n">
        <x:v>20.148333333333333</x:v>
      </x:c>
      <x:c r="Z4" s="23" t="str">
        <x:v>benchmark/preprocessing_training/dim_600/area/cnmr/seed_41/ttn/metrics.json</x:v>
      </x:c>
    </x:row>
    <x:row r="5">
      <x:c r="A5" s="23" t="str">
        <x:v>area</x:v>
      </x:c>
      <x:c r="B5" s="23" t="str">
        <x:v>cnmr</x:v>
      </x:c>
      <x:c r="C5" s="23" t="str">
        <x:v>xgboost</x:v>
      </x:c>
      <x:c r="D5" s="23" t="n">
        <x:v>41</x:v>
      </x:c>
      <x:c r="E5" s="23" t="n">
        <x:v>600</x:v>
      </x:c>
      <x:c r="F5" s="23" t="n">
        <x:v>635496</x:v>
      </x:c>
      <x:c r="G5" s="23" t="n">
        <x:v>79450</x:v>
      </x:c>
      <x:c r="H5" s="23" t="n">
        <x:v>79457</x:v>
      </x:c>
      <x:c r="I5" s="24" t="n">
        <x:v>0.7749245176807738</x:v>
      </x:c>
      <x:c r="J5" s="24" t="n">
        <x:v>0.36124692687489984</x:v>
      </x:c>
      <x:c r="K5" s="24" t="n">
        <x:v>0.5680857222778368</x:v>
      </x:c>
      <x:c r="L5" s="24"/>
      <x:c r="M5" s="24" t="n">
        <x:v>0.7746832630123127</x:v>
      </x:c>
      <x:c r="N5" s="24" t="n">
        <x:v>0.3504437628347742</x:v>
      </x:c>
      <x:c r="O5" s="24" t="n">
        <x:v>0.5625635129235435</x:v>
      </x:c>
      <x:c r="P5" s="24"/>
      <x:c r="Q5" s="24"/>
      <x:c r="R5" s="24"/>
      <x:c r="S5" s="24"/>
      <x:c r="T5" s="24"/>
      <x:c r="U5" s="24"/>
      <x:c r="V5" s="24"/>
      <x:c r="W5" s="23"/>
      <x:c r="X5" s="23"/>
      <x:c r="Y5" s="25" t="n">
        <x:v>5.495309590699617</x:v>
      </x:c>
      <x:c r="Z5" s="23" t="str">
        <x:v>benchmark/preprocessing_training/dim_600/area/cnmr/seed_41/xgboost/cnmr/original/metrics.json</x:v>
      </x:c>
    </x:row>
    <x:row r="6">
      <x:c r="A6" s="23" t="str">
        <x:v>area</x:v>
      </x:c>
      <x:c r="B6" s="23" t="str">
        <x:v>hnmr</x:v>
      </x:c>
      <x:c r="C6" s="23" t="str">
        <x:v>cnn</x:v>
      </x:c>
      <x:c r="D6" s="23" t="n">
        <x:v>41</x:v>
      </x:c>
      <x:c r="E6" s="23" t="n">
        <x:v>600</x:v>
      </x:c>
      <x:c r="F6" s="23" t="n">
        <x:v>635496</x:v>
      </x:c>
      <x:c r="G6" s="23" t="n">
        <x:v>79450</x:v>
      </x:c>
      <x:c r="H6" s="23" t="n">
        <x:v>79457</x:v>
      </x:c>
      <x:c r="I6" s="24" t="n">
        <x:v>0.679985448459219</x:v>
      </x:c>
      <x:c r="J6" s="24" t="n">
        <x:v>0.16067763535684146</x:v>
      </x:c>
      <x:c r="K6" s="24" t="n">
        <x:v>0.42033154190803024</x:v>
      </x:c>
      <x:c r="L6" s="24" t="n">
        <x:v>0.20102310180664062</x:v>
      </x:c>
      <x:c r="M6" s="24" t="n">
        <x:v>0.6798734862089607</x:v>
      </x:c>
      <x:c r="N6" s="24" t="n">
        <x:v>0.15910862706988382</x:v>
      </x:c>
      <x:c r="O6" s="24" t="n">
        <x:v>0.41949105663942227</x:v>
      </x:c>
      <x:c r="P6" s="24"/>
      <x:c r="Q6" s="24"/>
      <x:c r="R6" s="24"/>
      <x:c r="S6" s="24"/>
      <x:c r="T6" s="24"/>
      <x:c r="U6" s="24"/>
      <x:c r="V6" s="24"/>
      <x:c r="W6" s="23" t="n">
        <x:v>5</x:v>
      </x:c>
      <x:c r="X6" s="23" t="n">
        <x:v>25</x:v>
      </x:c>
      <x:c r="Y6" s="25" t="n">
        <x:v>19.033608424199823</x:v>
      </x:c>
      <x:c r="Z6" s="23" t="str">
        <x:v>benchmark/preprocessing_training/dim_600/area/hnmr/seed_41/cnn/hnmr/original/metrics.json</x:v>
      </x:c>
    </x:row>
    <x:row r="7">
      <x:c r="A7" s="23" t="str">
        <x:v>area</x:v>
      </x:c>
      <x:c r="B7" s="23" t="str">
        <x:v>hnmr</x:v>
      </x:c>
      <x:c r="C7" s="23" t="str">
        <x:v>mps</x:v>
      </x:c>
      <x:c r="D7" s="23" t="n">
        <x:v>41</x:v>
      </x:c>
      <x:c r="E7" s="23" t="n">
        <x:v>600</x:v>
      </x:c>
      <x:c r="F7" s="23"/>
      <x:c r="G7" s="23"/>
      <x:c r="H7" s="23"/>
      <x:c r="I7" s="24" t="n">
        <x:v>0.7003</x:v>
      </x:c>
      <x:c r="J7" s="24" t="n">
        <x:v>0.3718</x:v>
      </x:c>
      <x:c r="K7" s="24" t="n">
        <x:v>0.53605</x:v>
      </x:c>
      <x:c r="L7" s="24" t="n">
        <x:v>9.7644</x:v>
      </x:c>
      <x:c r="M7" s="24" t="n">
        <x:v>0.699900340395791</x:v>
      </x:c>
      <x:c r="N7" s="24" t="n">
        <x:v>0.3631540917071973</x:v>
      </x:c>
      <x:c r="O7" s="24" t="n">
        <x:v>0.5315272160514941</x:v>
      </x:c>
      <x:c r="P7" s="24" t="n">
        <x:v>10.2764</x:v>
      </x:c>
      <x:c r="Q7" s="24" t="n">
        <x:v>0.0769</x:v>
      </x:c>
      <x:c r="R7" s="24" t="n">
        <x:v>0.7072</x:v>
      </x:c>
      <x:c r="S7" s="24" t="n">
        <x:v>0.688</x:v>
      </x:c>
      <x:c r="T7" s="24" t="n">
        <x:v>0.3859</x:v>
      </x:c>
      <x:c r="U7" s="24" t="n">
        <x:v>0.7122</x:v>
      </x:c>
      <x:c r="V7" s="24" t="n">
        <x:v>0.3536</x:v>
      </x:c>
      <x:c r="W7" s="23" t="n">
        <x:v>156</x:v>
      </x:c>
      <x:c r="X7" s="23" t="n">
        <x:v>156</x:v>
      </x:c>
      <x:c r="Y7" s="25" t="n">
        <x:v>123.4</x:v>
      </x:c>
      <x:c r="Z7" s="23" t="str">
        <x:v>benchmark/preprocessing_training/dim_600/area/hnmr/seed_41/mps/results/metrics.json</x:v>
      </x:c>
    </x:row>
    <x:row r="8">
      <x:c r="A8" s="23" t="str">
        <x:v>area</x:v>
      </x:c>
      <x:c r="B8" s="23" t="str">
        <x:v>hnmr</x:v>
      </x:c>
      <x:c r="C8" s="23" t="str">
        <x:v>ttn</x:v>
      </x:c>
      <x:c r="D8" s="23" t="n">
        <x:v>41</x:v>
      </x:c>
      <x:c r="E8" s="23" t="n">
        <x:v>600</x:v>
      </x:c>
      <x:c r="F8" s="23"/>
      <x:c r="G8" s="23"/>
      <x:c r="H8" s="23"/>
      <x:c r="I8" s="24" t="n">
        <x:v>0.6883943481563228</x:v>
      </x:c>
      <x:c r="J8" s="24" t="n">
        <x:v>0.3073775776085224</x:v>
      </x:c>
      <x:c r="K8" s="24" t="n">
        <x:v>0.4978859628824226</x:v>
      </x:c>
      <x:c r="L8" s="24" t="n">
        <x:v>0.391897</x:v>
      </x:c>
      <x:c r="M8" s="24" t="n">
        <x:v>0.6878442470941276</x:v>
      </x:c>
      <x:c r="N8" s="24" t="n">
        <x:v>0.3002030750676017</x:v>
      </x:c>
      <x:c r="O8" s="24" t="n">
        <x:v>0.49402366108086465</x:v>
      </x:c>
      <x:c r="P8" s="24" t="n">
        <x:v>0.395339</x:v>
      </x:c>
      <x:c r="Q8" s="24"/>
      <x:c r="R8" s="24"/>
      <x:c r="S8" s="24" t="n">
        <x:v>0.691341</x:v>
      </x:c>
      <x:c r="T8" s="24"/>
      <x:c r="U8" s="24" t="n">
        <x:v>0.684383</x:v>
      </x:c>
      <x:c r="V8" s="24"/>
      <x:c r="W8" s="23" t="n">
        <x:v>63</x:v>
      </x:c>
      <x:c r="X8" s="23" t="n">
        <x:v>83</x:v>
      </x:c>
      <x:c r="Y8" s="25" t="n">
        <x:v>25.308333333333334</x:v>
      </x:c>
      <x:c r="Z8" s="23" t="str">
        <x:v>benchmark/preprocessing_training/dim_600/area/hnmr/seed_41/ttn/metrics.json</x:v>
      </x:c>
    </x:row>
    <x:row r="9">
      <x:c r="A9" s="23" t="str">
        <x:v>area</x:v>
      </x:c>
      <x:c r="B9" s="23" t="str">
        <x:v>hnmr</x:v>
      </x:c>
      <x:c r="C9" s="23" t="str">
        <x:v>xgboost</x:v>
      </x:c>
      <x:c r="D9" s="23" t="n">
        <x:v>41</x:v>
      </x:c>
      <x:c r="E9" s="23" t="n">
        <x:v>600</x:v>
      </x:c>
      <x:c r="F9" s="23" t="n">
        <x:v>635496</x:v>
      </x:c>
      <x:c r="G9" s="23" t="n">
        <x:v>79450</x:v>
      </x:c>
      <x:c r="H9" s="23" t="n">
        <x:v>79457</x:v>
      </x:c>
      <x:c r="I9" s="24" t="n">
        <x:v>0.7490718911741593</x:v>
      </x:c>
      <x:c r="J9" s="24" t="n">
        <x:v>0.321724136679398</x:v>
      </x:c>
      <x:c r="K9" s="24" t="n">
        <x:v>0.5353980139267787</x:v>
      </x:c>
      <x:c r="L9" s="24"/>
      <x:c r="M9" s="24" t="n">
        <x:v>0.7494985570801028</x:v>
      </x:c>
      <x:c r="N9" s="24" t="n">
        <x:v>0.3163031182726644</x:v>
      </x:c>
      <x:c r="O9" s="24" t="n">
        <x:v>0.5329008376763836</x:v>
      </x:c>
      <x:c r="P9" s="24"/>
      <x:c r="Q9" s="24"/>
      <x:c r="R9" s="24"/>
      <x:c r="S9" s="24"/>
      <x:c r="T9" s="24"/>
      <x:c r="U9" s="24"/>
      <x:c r="V9" s="24"/>
      <x:c r="W9" s="23"/>
      <x:c r="X9" s="23"/>
      <x:c r="Y9" s="25" t="n">
        <x:v>5.419921131750258</x:v>
      </x:c>
      <x:c r="Z9" s="23" t="str">
        <x:v>benchmark/preprocessing_training/dim_600/area/hnmr/seed_41/xgboost/hnmr/original/metrics.json</x:v>
      </x:c>
    </x:row>
    <x:row r="10">
      <x:c r="A10" s="23" t="str">
        <x:v>area</x:v>
      </x:c>
      <x:c r="B10" s="23" t="str">
        <x:v>ir</x:v>
      </x:c>
      <x:c r="C10" s="23" t="str">
        <x:v>cnn</x:v>
      </x:c>
      <x:c r="D10" s="23" t="n">
        <x:v>41</x:v>
      </x:c>
      <x:c r="E10" s="23" t="n">
        <x:v>600</x:v>
      </x:c>
      <x:c r="F10" s="23" t="n">
        <x:v>635496</x:v>
      </x:c>
      <x:c r="G10" s="23" t="n">
        <x:v>79450</x:v>
      </x:c>
      <x:c r="H10" s="23" t="n">
        <x:v>79457</x:v>
      </x:c>
      <x:c r="I10" s="24" t="n">
        <x:v>0.5972312527881366</x:v>
      </x:c>
      <x:c r="J10" s="24" t="n">
        <x:v>0.25345215320118986</x:v>
      </x:c>
      <x:c r="K10" s="24" t="n">
        <x:v>0.42534170299466323</x:v>
      </x:c>
      <x:c r="L10" s="24" t="n">
        <x:v>0.23581182956695557</x:v>
      </x:c>
      <x:c r="M10" s="24" t="n">
        <x:v>0.598144045491423</x:v>
      </x:c>
      <x:c r="N10" s="24" t="n">
        <x:v>0.24404994704201913</x:v>
      </x:c>
      <x:c r="O10" s="24" t="n">
        <x:v>0.42109699626672104</x:v>
      </x:c>
      <x:c r="P10" s="24"/>
      <x:c r="Q10" s="24"/>
      <x:c r="R10" s="24"/>
      <x:c r="S10" s="24"/>
      <x:c r="T10" s="24"/>
      <x:c r="U10" s="24"/>
      <x:c r="V10" s="24"/>
      <x:c r="W10" s="23" t="n">
        <x:v>1</x:v>
      </x:c>
      <x:c r="X10" s="23" t="n">
        <x:v>23</x:v>
      </x:c>
      <x:c r="Y10" s="25" t="n">
        <x:v>17.984566538084376</x:v>
      </x:c>
      <x:c r="Z10" s="23" t="str">
        <x:v>benchmark/preprocessing_training/dim_600/area/ir/seed_41/cnn/ir/original/metrics.json</x:v>
      </x:c>
    </x:row>
    <x:row r="11">
      <x:c r="A11" s="23" t="str">
        <x:v>area</x:v>
      </x:c>
      <x:c r="B11" s="23" t="str">
        <x:v>ir</x:v>
      </x:c>
      <x:c r="C11" s="23" t="str">
        <x:v>mps</x:v>
      </x:c>
      <x:c r="D11" s="23" t="n">
        <x:v>41</x:v>
      </x:c>
      <x:c r="E11" s="23" t="n">
        <x:v>600</x:v>
      </x:c>
      <x:c r="F11" s="23"/>
      <x:c r="G11" s="23"/>
      <x:c r="H11" s="23"/>
      <x:c r="I11" s="24" t="n">
        <x:v>0.8418</x:v>
      </x:c>
      <x:c r="J11" s="24" t="n">
        <x:v>0.6978</x:v>
      </x:c>
      <x:c r="K11" s="24" t="n">
        <x:v>0.7698</x:v>
      </x:c>
      <x:c r="L11" s="24" t="n">
        <x:v>4.2406</x:v>
      </x:c>
      <x:c r="M11" s="24" t="n">
        <x:v>0.8418422021239462</x:v>
      </x:c>
      <x:c r="N11" s="24" t="n">
        <x:v>0.6766921878957525</x:v>
      </x:c>
      <x:c r="O11" s="24" t="n">
        <x:v>0.7592671950098493</x:v>
      </x:c>
      <x:c r="P11" s="24" t="n">
        <x:v>4.286</x:v>
      </x:c>
      <x:c r="Q11" s="24" t="n">
        <x:v>0.2568</x:v>
      </x:c>
      <x:c r="R11" s="24" t="n">
        <x:v>0.8408</x:v>
      </x:c>
      <x:c r="S11" s="24" t="n">
        <x:v>0.869</x:v>
      </x:c>
      <x:c r="T11" s="24" t="n">
        <x:v>0.7526</x:v>
      </x:c>
      <x:c r="U11" s="24" t="n">
        <x:v>0.8163</x:v>
      </x:c>
      <x:c r="V11" s="24" t="n">
        <x:v>0.6377</x:v>
      </x:c>
      <x:c r="W11" s="23" t="n">
        <x:v>147</x:v>
      </x:c>
      <x:c r="X11" s="23" t="n">
        <x:v>149</x:v>
      </x:c>
      <x:c r="Y11" s="25" t="n">
        <x:v>117.4</x:v>
      </x:c>
      <x:c r="Z11" s="23" t="str">
        <x:v>benchmark/preprocessing_training/dim_600/area/ir/seed_41/mps/results/metrics.json</x:v>
      </x:c>
    </x:row>
    <x:row r="12">
      <x:c r="A12" s="23" t="str">
        <x:v>area</x:v>
      </x:c>
      <x:c r="B12" s="23" t="str">
        <x:v>ir</x:v>
      </x:c>
      <x:c r="C12" s="23" t="str">
        <x:v>ttn</x:v>
      </x:c>
      <x:c r="D12" s="23" t="n">
        <x:v>41</x:v>
      </x:c>
      <x:c r="E12" s="23" t="n">
        <x:v>600</x:v>
      </x:c>
      <x:c r="F12" s="23"/>
      <x:c r="G12" s="23"/>
      <x:c r="H12" s="23"/>
      <x:c r="I12" s="24" t="n">
        <x:v>0.830298486567254</x:v>
      </x:c>
      <x:c r="J12" s="24" t="n">
        <x:v>0.588816024127915</x:v>
      </x:c>
      <x:c r="K12" s="24" t="n">
        <x:v>0.7095572553475845</x:v>
      </x:c>
      <x:c r="L12" s="24" t="n">
        <x:v>0.191972</x:v>
      </x:c>
      <x:c r="M12" s="24" t="n">
        <x:v>0.8305428086065773</x:v>
      </x:c>
      <x:c r="N12" s="24" t="n">
        <x:v>0.5802744249144511</x:v>
      </x:c>
      <x:c r="O12" s="24" t="n">
        <x:v>0.7054086167605143</x:v>
      </x:c>
      <x:c r="P12" s="24" t="n">
        <x:v>0.192426</x:v>
      </x:c>
      <x:c r="Q12" s="24"/>
      <x:c r="R12" s="24"/>
      <x:c r="S12" s="24" t="n">
        <x:v>0.824722</x:v>
      </x:c>
      <x:c r="T12" s="24"/>
      <x:c r="U12" s="24" t="n">
        <x:v>0.836446</x:v>
      </x:c>
      <x:c r="V12" s="24"/>
      <x:c r="W12" s="23" t="n">
        <x:v>51</x:v>
      </x:c>
      <x:c r="X12" s="23" t="n">
        <x:v>71</x:v>
      </x:c>
      <x:c r="Y12" s="25" t="n">
        <x:v>22.2955</x:v>
      </x:c>
      <x:c r="Z12" s="23" t="str">
        <x:v>benchmark/preprocessing_training/dim_600/area/ir/seed_41/ttn/metrics.json</x:v>
      </x:c>
    </x:row>
    <x:row r="13">
      <x:c r="A13" s="23" t="str">
        <x:v>area</x:v>
      </x:c>
      <x:c r="B13" s="23" t="str">
        <x:v>ir</x:v>
      </x:c>
      <x:c r="C13" s="23" t="str">
        <x:v>xgboost</x:v>
      </x:c>
      <x:c r="D13" s="23" t="n">
        <x:v>41</x:v>
      </x:c>
      <x:c r="E13" s="23" t="n">
        <x:v>600</x:v>
      </x:c>
      <x:c r="F13" s="23" t="n">
        <x:v>635496</x:v>
      </x:c>
      <x:c r="G13" s="23" t="n">
        <x:v>79450</x:v>
      </x:c>
      <x:c r="H13" s="23" t="n">
        <x:v>79457</x:v>
      </x:c>
      <x:c r="I13" s="24" t="n">
        <x:v>0.8432149954542725</x:v>
      </x:c>
      <x:c r="J13" s="24" t="n">
        <x:v>0.5701322308096882</x:v>
      </x:c>
      <x:c r="K13" s="24" t="n">
        <x:v>0.7066736131319804</x:v>
      </x:c>
      <x:c r="L13" s="24"/>
      <x:c r="M13" s="24" t="n">
        <x:v>0.8440160943202021</x:v>
      </x:c>
      <x:c r="N13" s="24" t="n">
        <x:v>0.5626489634749131</x:v>
      </x:c>
      <x:c r="O13" s="24" t="n">
        <x:v>0.7033325288975576</x:v>
      </x:c>
      <x:c r="P13" s="24"/>
      <x:c r="Q13" s="24"/>
      <x:c r="R13" s="24"/>
      <x:c r="S13" s="24"/>
      <x:c r="T13" s="24"/>
      <x:c r="U13" s="24"/>
      <x:c r="V13" s="24"/>
      <x:c r="W13" s="23"/>
      <x:c r="X13" s="23"/>
      <x:c r="Y13" s="25" t="n">
        <x:v>5.904080642916961</x:v>
      </x:c>
      <x:c r="Z13" s="23" t="str">
        <x:v>benchmark/preprocessing_training/dim_600/area/ir/seed_41/xgboost/ir/original/metrics.json</x:v>
      </x:c>
    </x:row>
    <x:row r="14">
      <x:c r="A14" s="23" t="str">
        <x:v>area</x:v>
      </x:c>
      <x:c r="B14" s="23" t="str">
        <x:v>msms_neg</x:v>
      </x:c>
      <x:c r="C14" s="23" t="str">
        <x:v>cnn</x:v>
      </x:c>
      <x:c r="D14" s="23" t="n">
        <x:v>41</x:v>
      </x:c>
      <x:c r="E14" s="23" t="n">
        <x:v>600</x:v>
      </x:c>
      <x:c r="F14" s="23" t="n">
        <x:v>635496</x:v>
      </x:c>
      <x:c r="G14" s="23" t="n">
        <x:v>79450</x:v>
      </x:c>
      <x:c r="H14" s="23" t="n">
        <x:v>79457</x:v>
      </x:c>
      <x:c r="I14" s="24" t="n">
        <x:v>0.6451849307225467</x:v>
      </x:c>
      <x:c r="J14" s="24" t="n">
        <x:v>0.12059491749736145</x:v>
      </x:c>
      <x:c r="K14" s="24" t="n">
        <x:v>0.38288992410995404</x:v>
      </x:c>
      <x:c r="L14" s="24" t="n">
        <x:v>0.21638810634613037</x:v>
      </x:c>
      <x:c r="M14" s="24" t="n">
        <x:v>0.6450209179466821</x:v>
      </x:c>
      <x:c r="N14" s="24" t="n">
        <x:v>0.12019745094201686</x:v>
      </x:c>
      <x:c r="O14" s="24" t="n">
        <x:v>0.3826091844443495</x:v>
      </x:c>
      <x:c r="P14" s="24"/>
      <x:c r="Q14" s="24"/>
      <x:c r="R14" s="24"/>
      <x:c r="S14" s="24"/>
      <x:c r="T14" s="24"/>
      <x:c r="U14" s="24"/>
      <x:c r="V14" s="24"/>
      <x:c r="W14" s="23" t="n">
        <x:v>4</x:v>
      </x:c>
      <x:c r="X14" s="23" t="n">
        <x:v>33</x:v>
      </x:c>
      <x:c r="Y14" s="25" t="n">
        <x:v>25.017704952065834</x:v>
      </x:c>
      <x:c r="Z14" s="23" t="str">
        <x:v>benchmark/preprocessing_training/dim_600/area/msms_neg/seed_41/cnn/neg_msms/original/metrics.json</x:v>
      </x:c>
    </x:row>
    <x:row r="15">
      <x:c r="A15" s="23" t="str">
        <x:v>area</x:v>
      </x:c>
      <x:c r="B15" s="23" t="str">
        <x:v>msms_neg</x:v>
      </x:c>
      <x:c r="C15" s="23" t="str">
        <x:v>mps</x:v>
      </x:c>
      <x:c r="D15" s="23" t="n">
        <x:v>41</x:v>
      </x:c>
      <x:c r="E15" s="23" t="n">
        <x:v>600</x:v>
      </x:c>
      <x:c r="F15" s="23"/>
      <x:c r="G15" s="23"/>
      <x:c r="H15" s="23"/>
      <x:c r="I15" s="24" t="n">
        <x:v>0.2805</x:v>
      </x:c>
      <x:c r="J15" s="24" t="n">
        <x:v>0.1735</x:v>
      </x:c>
      <x:c r="K15" s="24" t="n">
        <x:v>0.227</x:v>
      </x:c>
      <x:c r="L15" s="24" t="n">
        <x:v>1.2153</x:v>
      </x:c>
      <x:c r="M15" s="24" t="n">
        <x:v>0.27959189280892227</x:v>
      </x:c>
      <x:c r="N15" s="24" t="n">
        <x:v>0.17330553151000413</x:v>
      </x:c>
      <x:c r="O15" s="24" t="n">
        <x:v>0.22644871215946322</x:v>
      </x:c>
      <x:c r="P15" s="24" t="n">
        <x:v>1.3466</x:v>
      </x:c>
      <x:c r="Q15" s="24" t="n">
        <x:v>0</x:v>
      </x:c>
      <x:c r="R15" s="24" t="n">
        <x:v>0.5429</x:v>
      </x:c>
      <x:c r="S15" s="24" t="n">
        <x:v>0.1846</x:v>
      </x:c>
      <x:c r="T15" s="24" t="n">
        <x:v>0.1561</x:v>
      </x:c>
      <x:c r="U15" s="24" t="n">
        <x:v>0.5763</x:v>
      </x:c>
      <x:c r="V15" s="24" t="n">
        <x:v>0.5621</x:v>
      </x:c>
      <x:c r="W15" s="23" t="n">
        <x:v>9</x:v>
      </x:c>
      <x:c r="X15" s="23" t="n">
        <x:v>29</x:v>
      </x:c>
      <x:c r="Y15" s="25" t="n">
        <x:v>23.7</x:v>
      </x:c>
      <x:c r="Z15" s="23" t="str">
        <x:v>benchmark/preprocessing_training/dim_600/area/msms_neg/seed_41/mps/results/metrics.json</x:v>
      </x:c>
    </x:row>
    <x:row r="16">
      <x:c r="A16" s="23" t="str">
        <x:v>area</x:v>
      </x:c>
      <x:c r="B16" s="23" t="str">
        <x:v>msms_neg</x:v>
      </x:c>
      <x:c r="C16" s="23" t="str">
        <x:v>ttn</x:v>
      </x:c>
      <x:c r="D16" s="23" t="n">
        <x:v>41</x:v>
      </x:c>
      <x:c r="E16" s="23" t="n">
        <x:v>600</x:v>
      </x:c>
      <x:c r="F16" s="23"/>
      <x:c r="G16" s="23"/>
      <x:c r="H16" s="23"/>
      <x:c r="I16" s="24" t="n">
        <x:v>0.6405838007005024</x:v>
      </x:c>
      <x:c r="J16" s="24" t="n">
        <x:v>0.15082698378114662</x:v>
      </x:c>
      <x:c r="K16" s="24" t="n">
        <x:v>0.39570539224082446</x:v>
      </x:c>
      <x:c r="L16" s="24" t="n">
        <x:v>0.403781</x:v>
      </x:c>
      <x:c r="M16" s="24" t="n">
        <x:v>0.6406502352362896</x:v>
      </x:c>
      <x:c r="N16" s="24" t="n">
        <x:v>0.15127906327813156</x:v>
      </x:c>
      <x:c r="O16" s="24" t="n">
        <x:v>0.3959646492572106</x:v>
      </x:c>
      <x:c r="P16" s="24" t="n">
        <x:v>0.404568</x:v>
      </x:c>
      <x:c r="Q16" s="24"/>
      <x:c r="R16" s="24"/>
      <x:c r="S16" s="24" t="n">
        <x:v>0.72044</x:v>
      </x:c>
      <x:c r="T16" s="24"/>
      <x:c r="U16" s="24" t="n">
        <x:v>0.576772</x:v>
      </x:c>
      <x:c r="V16" s="24"/>
      <x:c r="W16" s="23" t="n">
        <x:v>62</x:v>
      </x:c>
      <x:c r="X16" s="23" t="n">
        <x:v>82</x:v>
      </x:c>
      <x:c r="Y16" s="25" t="n">
        <x:v>24.872833333333332</x:v>
      </x:c>
      <x:c r="Z16" s="23" t="str">
        <x:v>benchmark/preprocessing_training/dim_600/area/msms_neg/seed_41/ttn/metrics.json</x:v>
      </x:c>
    </x:row>
    <x:row r="17">
      <x:c r="A17" s="23" t="str">
        <x:v>area</x:v>
      </x:c>
      <x:c r="B17" s="23" t="str">
        <x:v>msms_neg</x:v>
      </x:c>
      <x:c r="C17" s="23" t="str">
        <x:v>xgboost</x:v>
      </x:c>
      <x:c r="D17" s="23" t="n">
        <x:v>41</x:v>
      </x:c>
      <x:c r="E17" s="23" t="n">
        <x:v>600</x:v>
      </x:c>
      <x:c r="F17" s="23" t="n">
        <x:v>635496</x:v>
      </x:c>
      <x:c r="G17" s="23" t="n">
        <x:v>79450</x:v>
      </x:c>
      <x:c r="H17" s="23" t="n">
        <x:v>79457</x:v>
      </x:c>
      <x:c r="I17" s="24" t="n">
        <x:v>0.6238082222615239</x:v>
      </x:c>
      <x:c r="J17" s="24" t="n">
        <x:v>0.10799289534799965</x:v>
      </x:c>
      <x:c r="K17" s="24" t="n">
        <x:v>0.36590055880476174</x:v>
      </x:c>
      <x:c r="L17" s="24"/>
      <x:c r="M17" s="24" t="n">
        <x:v>0.6236163726885924</x:v>
      </x:c>
      <x:c r="N17" s="24" t="n">
        <x:v>0.10789585797618964</x:v>
      </x:c>
      <x:c r="O17" s="24" t="n">
        <x:v>0.365756115332391</x:v>
      </x:c>
      <x:c r="P17" s="24"/>
      <x:c r="Q17" s="24"/>
      <x:c r="R17" s="24"/>
      <x:c r="S17" s="24"/>
      <x:c r="T17" s="24"/>
      <x:c r="U17" s="24"/>
      <x:c r="V17" s="24"/>
      <x:c r="W17" s="23"/>
      <x:c r="X17" s="23"/>
      <x:c r="Y17" s="25" t="n">
        <x:v>2.440503821351255</x:v>
      </x:c>
      <x:c r="Z17" s="23" t="str">
        <x:v>benchmark/preprocessing_training/dim_600/area/msms_neg/seed_41/xgboost/neg_msms/original/metrics.json</x:v>
      </x:c>
    </x:row>
    <x:row r="18">
      <x:c r="A18" s="23" t="str">
        <x:v>area</x:v>
      </x:c>
      <x:c r="B18" s="23" t="str">
        <x:v>msms_pos</x:v>
      </x:c>
      <x:c r="C18" s="23" t="str">
        <x:v>cnn</x:v>
      </x:c>
      <x:c r="D18" s="23" t="n">
        <x:v>41</x:v>
      </x:c>
      <x:c r="E18" s="23" t="n">
        <x:v>600</x:v>
      </x:c>
      <x:c r="F18" s="23" t="n">
        <x:v>635496</x:v>
      </x:c>
      <x:c r="G18" s="23" t="n">
        <x:v>79450</x:v>
      </x:c>
      <x:c r="H18" s="23" t="n">
        <x:v>79457</x:v>
      </x:c>
      <x:c r="I18" s="24" t="n">
        <x:v>0.6379553744848169</x:v>
      </x:c>
      <x:c r="J18" s="24" t="n">
        <x:v>0.1013762490784287</x:v>
      </x:c>
      <x:c r="K18" s="24" t="n">
        <x:v>0.3696658117816228</x:v>
      </x:c>
      <x:c r="L18" s="24" t="n">
        <x:v>0.2171422243118286</x:v>
      </x:c>
      <x:c r="M18" s="24" t="n">
        <x:v>0.6370363113794406</x:v>
      </x:c>
      <x:c r="N18" s="24" t="n">
        <x:v>0.1015741198914776</x:v>
      </x:c>
      <x:c r="O18" s="24" t="n">
        <x:v>0.3693052156354591</x:v>
      </x:c>
      <x:c r="P18" s="24"/>
      <x:c r="Q18" s="24"/>
      <x:c r="R18" s="24"/>
      <x:c r="S18" s="24"/>
      <x:c r="T18" s="24"/>
      <x:c r="U18" s="24"/>
      <x:c r="V18" s="24"/>
      <x:c r="W18" s="23" t="n">
        <x:v>14</x:v>
      </x:c>
      <x:c r="X18" s="23" t="n">
        <x:v>31</x:v>
      </x:c>
      <x:c r="Y18" s="25" t="n">
        <x:v>24.01446192204991</x:v>
      </x:c>
      <x:c r="Z18" s="23" t="str">
        <x:v>benchmark/preprocessing_training/dim_600/area/msms_pos/seed_41/cnn/pos_msms/original/metrics.json</x:v>
      </x:c>
    </x:row>
    <x:row r="19">
      <x:c r="A19" s="23" t="str">
        <x:v>area</x:v>
      </x:c>
      <x:c r="B19" s="23" t="str">
        <x:v>msms_pos</x:v>
      </x:c>
      <x:c r="C19" s="23" t="str">
        <x:v>mps</x:v>
      </x:c>
      <x:c r="D19" s="23" t="n">
        <x:v>41</x:v>
      </x:c>
      <x:c r="E19" s="23" t="n">
        <x:v>600</x:v>
      </x:c>
      <x:c r="F19" s="23"/>
      <x:c r="G19" s="23"/>
      <x:c r="H19" s="23"/>
      <x:c r="I19" s="24" t="n">
        <x:v>0.2889</x:v>
      </x:c>
      <x:c r="J19" s="24" t="n">
        <x:v>0.1722</x:v>
      </x:c>
      <x:c r="K19" s="24" t="n">
        <x:v>0.23054999999999998</x:v>
      </x:c>
      <x:c r="L19" s="24" t="n">
        <x:v>1.2073</x:v>
      </x:c>
      <x:c r="M19" s="24" t="n">
        <x:v>0.28844672025208945</x:v>
      </x:c>
      <x:c r="N19" s="24" t="n">
        <x:v>0.17236100153664496</x:v>
      </x:c>
      <x:c r="O19" s="24" t="n">
        <x:v>0.2304038608943672</x:v>
      </x:c>
      <x:c r="P19" s="24" t="n">
        <x:v>1.206</x:v>
      </x:c>
      <x:c r="Q19" s="24" t="n">
        <x:v>0</x:v>
      </x:c>
      <x:c r="R19" s="24" t="n">
        <x:v>0.5556</x:v>
      </x:c>
      <x:c r="S19" s="24" t="n">
        <x:v>0.1882</x:v>
      </x:c>
      <x:c r="T19" s="24" t="n">
        <x:v>0.1513</x:v>
      </x:c>
      <x:c r="U19" s="24" t="n">
        <x:v>0.6173</x:v>
      </x:c>
      <x:c r="V19" s="24" t="n">
        <x:v>0.5565</x:v>
      </x:c>
      <x:c r="W19" s="23" t="n">
        <x:v>1</x:v>
      </x:c>
      <x:c r="X19" s="23" t="n">
        <x:v>21</x:v>
      </x:c>
      <x:c r="Y19" s="25" t="n">
        <x:v>17.4</x:v>
      </x:c>
      <x:c r="Z19" s="23" t="str">
        <x:v>benchmark/preprocessing_training/dim_600/area/msms_pos/seed_41/mps/results/metrics.json</x:v>
      </x:c>
    </x:row>
    <x:row r="20">
      <x:c r="A20" s="23" t="str">
        <x:v>area</x:v>
      </x:c>
      <x:c r="B20" s="23" t="str">
        <x:v>msms_pos</x:v>
      </x:c>
      <x:c r="C20" s="23" t="str">
        <x:v>ttn</x:v>
      </x:c>
      <x:c r="D20" s="23" t="n">
        <x:v>41</x:v>
      </x:c>
      <x:c r="E20" s="23" t="n">
        <x:v>600</x:v>
      </x:c>
      <x:c r="F20" s="23"/>
      <x:c r="G20" s="23"/>
      <x:c r="H20" s="23"/>
      <x:c r="I20" s="24" t="n">
        <x:v>0.6474949652108795</x:v>
      </x:c>
      <x:c r="J20" s="24" t="n">
        <x:v>0.14612503525532236</x:v>
      </x:c>
      <x:c r="K20" s="24" t="n">
        <x:v>0.3968100002331009</x:v>
      </x:c>
      <x:c r="L20" s="24" t="n">
        <x:v>0.399599</x:v>
      </x:c>
      <x:c r="M20" s="24" t="n">
        <x:v>0.6471119133574007</x:v>
      </x:c>
      <x:c r="N20" s="24" t="n">
        <x:v>0.14572532145290376</x:v>
      </x:c>
      <x:c r="O20" s="24" t="n">
        <x:v>0.3964186174051522</x:v>
      </x:c>
      <x:c r="P20" s="24" t="n">
        <x:v>0.399935</x:v>
      </x:c>
      <x:c r="Q20" s="24"/>
      <x:c r="R20" s="24"/>
      <x:c r="S20" s="24" t="n">
        <x:v>0.723246</x:v>
      </x:c>
      <x:c r="T20" s="24"/>
      <x:c r="U20" s="24" t="n">
        <x:v>0.58548</x:v>
      </x:c>
      <x:c r="V20" s="24"/>
      <x:c r="W20" s="23" t="n">
        <x:v>4</x:v>
      </x:c>
      <x:c r="X20" s="23" t="n">
        <x:v>80</x:v>
      </x:c>
      <x:c r="Y20" s="25" t="n">
        <x:v>24.046166666666668</x:v>
      </x:c>
      <x:c r="Z20" s="23" t="str">
        <x:v>benchmark/preprocessing_training/dim_600/area/msms_pos/seed_41/ttn/metrics.json</x:v>
      </x:c>
    </x:row>
    <x:row r="21">
      <x:c r="A21" s="23" t="str">
        <x:v>area</x:v>
      </x:c>
      <x:c r="B21" s="23" t="str">
        <x:v>msms_pos</x:v>
      </x:c>
      <x:c r="C21" s="23" t="str">
        <x:v>xgboost</x:v>
      </x:c>
      <x:c r="D21" s="23" t="n">
        <x:v>41</x:v>
      </x:c>
      <x:c r="E21" s="23" t="n">
        <x:v>600</x:v>
      </x:c>
      <x:c r="F21" s="23" t="n">
        <x:v>635496</x:v>
      </x:c>
      <x:c r="G21" s="23" t="n">
        <x:v>79450</x:v>
      </x:c>
      <x:c r="H21" s="23" t="n">
        <x:v>79457</x:v>
      </x:c>
      <x:c r="I21" s="24" t="n">
        <x:v>0.6318533683065702</x:v>
      </x:c>
      <x:c r="J21" s="24" t="n">
        <x:v>0.10161063019023041</x:v>
      </x:c>
      <x:c r="K21" s="24" t="n">
        <x:v>0.36673199924840033</x:v>
      </x:c>
      <x:c r="L21" s="24"/>
      <x:c r="M21" s="24" t="n">
        <x:v>0.6313028439661799</x:v>
      </x:c>
      <x:c r="N21" s="24" t="n">
        <x:v>0.1019293683429056</x:v>
      </x:c>
      <x:c r="O21" s="24" t="n">
        <x:v>0.3666161061545427</x:v>
      </x:c>
      <x:c r="P21" s="24"/>
      <x:c r="Q21" s="24"/>
      <x:c r="R21" s="24"/>
      <x:c r="S21" s="24"/>
      <x:c r="T21" s="24"/>
      <x:c r="U21" s="24"/>
      <x:c r="V21" s="24"/>
      <x:c r="W21" s="23"/>
      <x:c r="X21" s="23"/>
      <x:c r="Y21" s="25" t="n">
        <x:v>2.5076205642156615</x:v>
      </x:c>
      <x:c r="Z21" s="23" t="str">
        <x:v>benchmark/preprocessing_training/dim_600/area/msms_pos/seed_41/xgboost/pos_msms/original/metrics.json</x:v>
      </x:c>
    </x:row>
    <x:row r="22">
      <x:c r="A22" s="23" t="str">
        <x:v>bin_max</x:v>
      </x:c>
      <x:c r="B22" s="23" t="str">
        <x:v>cnmr</x:v>
      </x:c>
      <x:c r="C22" s="23" t="str">
        <x:v>cnn</x:v>
      </x:c>
      <x:c r="D22" s="23" t="n">
        <x:v>41</x:v>
      </x:c>
      <x:c r="E22" s="23" t="n">
        <x:v>600</x:v>
      </x:c>
      <x:c r="F22" s="23" t="n">
        <x:v>635496</x:v>
      </x:c>
      <x:c r="G22" s="23" t="n">
        <x:v>79450</x:v>
      </x:c>
      <x:c r="H22" s="23" t="n">
        <x:v>79457</x:v>
      </x:c>
      <x:c r="I22" s="24" t="n">
        <x:v>0.5510660814944118</x:v>
      </x:c>
      <x:c r="J22" s="24" t="n">
        <x:v>0.06858185533482845</x:v>
      </x:c>
      <x:c r="K22" s="24" t="n">
        <x:v>0.3098239684146201</x:v>
      </x:c>
      <x:c r="L22" s="24" t="n">
        <x:v>0.2458357959985733</x:v>
      </x:c>
      <x:c r="M22" s="24" t="n">
        <x:v>0.5512529408546261</x:v>
      </x:c>
      <x:c r="N22" s="24" t="n">
        <x:v>0.06864070701340963</x:v>
      </x:c>
      <x:c r="O22" s="24" t="n">
        <x:v>0.30994682393401785</x:v>
      </x:c>
      <x:c r="P22" s="24"/>
      <x:c r="Q22" s="24"/>
      <x:c r="R22" s="24"/>
      <x:c r="S22" s="24"/>
      <x:c r="T22" s="24"/>
      <x:c r="U22" s="24"/>
      <x:c r="V22" s="24"/>
      <x:c r="W22" s="23" t="n">
        <x:v>40</x:v>
      </x:c>
      <x:c r="X22" s="23" t="n">
        <x:v>47</x:v>
      </x:c>
      <x:c r="Y22" s="25" t="n">
        <x:v>37.343077688846584</x:v>
      </x:c>
      <x:c r="Z22" s="23" t="str">
        <x:v>benchmark/preprocessing_training/dim_600/bin_max/cnmr/seed_41/cnn/cnmr/original/metrics.json</x:v>
      </x:c>
    </x:row>
    <x:row r="23">
      <x:c r="A23" s="23" t="str">
        <x:v>bin_max</x:v>
      </x:c>
      <x:c r="B23" s="23" t="str">
        <x:v>cnmr</x:v>
      </x:c>
      <x:c r="C23" s="23" t="str">
        <x:v>mps</x:v>
      </x:c>
      <x:c r="D23" s="23" t="n">
        <x:v>41</x:v>
      </x:c>
      <x:c r="E23" s="23" t="n">
        <x:v>600</x:v>
      </x:c>
      <x:c r="F23" s="23"/>
      <x:c r="G23" s="23"/>
      <x:c r="H23" s="23"/>
      <x:c r="I23" s="24" t="n">
        <x:v>0.704</x:v>
      </x:c>
      <x:c r="J23" s="24" t="n">
        <x:v>0.4042</x:v>
      </x:c>
      <x:c r="K23" s="24" t="n">
        <x:v>0.5541</x:v>
      </x:c>
      <x:c r="L23" s="24" t="n">
        <x:v>9.5415</x:v>
      </x:c>
      <x:c r="M23" s="24" t="n">
        <x:v>0.7040520146826755</x:v>
      </x:c>
      <x:c r="N23" s="24" t="n">
        <x:v>0.4075647514478049</x:v>
      </x:c>
      <x:c r="O23" s="24" t="n">
        <x:v>0.5558083830652403</x:v>
      </x:c>
      <x:c r="P23" s="24" t="n">
        <x:v>9.2437</x:v>
      </x:c>
      <x:c r="Q23" s="24" t="n">
        <x:v>0.0702</x:v>
      </x:c>
      <x:c r="R23" s="24" t="n">
        <x:v>0.7276</x:v>
      </x:c>
      <x:c r="S23" s="24" t="n">
        <x:v>0.6608</x:v>
      </x:c>
      <x:c r="T23" s="24" t="n">
        <x:v>0.3877</x:v>
      </x:c>
      <x:c r="U23" s="24" t="n">
        <x:v>0.7533</x:v>
      </x:c>
      <x:c r="V23" s="24" t="n">
        <x:v>0.4435</x:v>
      </x:c>
      <x:c r="W23" s="23" t="n">
        <x:v>148</x:v>
      </x:c>
      <x:c r="X23" s="23" t="n">
        <x:v>158</x:v>
      </x:c>
      <x:c r="Y23" s="25" t="n">
        <x:v>220.8</x:v>
      </x:c>
      <x:c r="Z23" s="23" t="str">
        <x:v>benchmark/preprocessing_training/dim_600/bin_max/cnmr/seed_41/mps/results/metrics.json</x:v>
      </x:c>
    </x:row>
    <x:row r="24">
      <x:c r="A24" s="23" t="str">
        <x:v>bin_max</x:v>
      </x:c>
      <x:c r="B24" s="23" t="str">
        <x:v>cnmr</x:v>
      </x:c>
      <x:c r="C24" s="23" t="str">
        <x:v>ttn</x:v>
      </x:c>
      <x:c r="D24" s="23" t="n">
        <x:v>41</x:v>
      </x:c>
      <x:c r="E24" s="23" t="n">
        <x:v>600</x:v>
      </x:c>
      <x:c r="F24" s="23"/>
      <x:c r="G24" s="23"/>
      <x:c r="H24" s="23"/>
      <x:c r="I24" s="24" t="n">
        <x:v>0.7452613148459275</x:v>
      </x:c>
      <x:c r="J24" s="24" t="n">
        <x:v>0.39399751837842695</x:v>
      </x:c>
      <x:c r="K24" s="24" t="n">
        <x:v>0.5696294166121773</x:v>
      </x:c>
      <x:c r="L24" s="24" t="n">
        <x:v>0.326529</x:v>
      </x:c>
      <x:c r="M24" s="24" t="n">
        <x:v>0.7451627403174309</x:v>
      </x:c>
      <x:c r="N24" s="24" t="n">
        <x:v>0.38334488704719766</x:v>
      </x:c>
      <x:c r="O24" s="24" t="n">
        <x:v>0.5642538136823143</x:v>
      </x:c>
      <x:c r="P24" s="24" t="n">
        <x:v>0.324899</x:v>
      </x:c>
      <x:c r="Q24" s="24"/>
      <x:c r="R24" s="24"/>
      <x:c r="S24" s="24" t="n">
        <x:v>0.729062</x:v>
      </x:c>
      <x:c r="T24" s="24"/>
      <x:c r="U24" s="24" t="n">
        <x:v>0.761991</x:v>
      </x:c>
      <x:c r="V24" s="24"/>
      <x:c r="W24" s="23" t="n">
        <x:v>54</x:v>
      </x:c>
      <x:c r="X24" s="23" t="n">
        <x:v>74</x:v>
      </x:c>
      <x:c r="Y24" s="25" t="n">
        <x:v>22.417666666666666</x:v>
      </x:c>
      <x:c r="Z24" s="23" t="str">
        <x:v>benchmark/preprocessing_training/dim_600/bin_max/cnmr/seed_41/ttn/metrics.json</x:v>
      </x:c>
    </x:row>
    <x:row r="25">
      <x:c r="A25" s="23" t="str">
        <x:v>bin_max</x:v>
      </x:c>
      <x:c r="B25" s="23" t="str">
        <x:v>cnmr</x:v>
      </x:c>
      <x:c r="C25" s="23" t="str">
        <x:v>xgboost</x:v>
      </x:c>
      <x:c r="D25" s="23" t="n">
        <x:v>41</x:v>
      </x:c>
      <x:c r="E25" s="23" t="n">
        <x:v>600</x:v>
      </x:c>
      <x:c r="F25" s="23" t="n">
        <x:v>635496</x:v>
      </x:c>
      <x:c r="G25" s="23" t="n">
        <x:v>79450</x:v>
      </x:c>
      <x:c r="H25" s="23" t="n">
        <x:v>79457</x:v>
      </x:c>
      <x:c r="I25" s="24" t="n">
        <x:v>0.7902308866127941</x:v>
      </x:c>
      <x:c r="J25" s="24" t="n">
        <x:v>0.42544785988570716</x:v>
      </x:c>
      <x:c r="K25" s="24" t="n">
        <x:v>0.6078393732492506</x:v>
      </x:c>
      <x:c r="L25" s="24"/>
      <x:c r="M25" s="24" t="n">
        <x:v>0.7901698831860895</x:v>
      </x:c>
      <x:c r="N25" s="24" t="n">
        <x:v>0.41719954687859273</x:v>
      </x:c>
      <x:c r="O25" s="24" t="n">
        <x:v>0.6036847150323411</x:v>
      </x:c>
      <x:c r="P25" s="24"/>
      <x:c r="Q25" s="24"/>
      <x:c r="R25" s="24"/>
      <x:c r="S25" s="24"/>
      <x:c r="T25" s="24"/>
      <x:c r="U25" s="24"/>
      <x:c r="V25" s="24"/>
      <x:c r="W25" s="23"/>
      <x:c r="X25" s="23"/>
      <x:c r="Y25" s="25" t="n">
        <x:v>4.87928876595106</x:v>
      </x:c>
      <x:c r="Z25" s="23" t="str">
        <x:v>benchmark/preprocessing_training/dim_600/bin_max/cnmr/seed_41/xgboost/cnmr/original/metrics.json</x:v>
      </x:c>
    </x:row>
    <x:row r="26">
      <x:c r="A26" s="23" t="str">
        <x:v>bin_max</x:v>
      </x:c>
      <x:c r="B26" s="23" t="str">
        <x:v>hnmr</x:v>
      </x:c>
      <x:c r="C26" s="23" t="str">
        <x:v>cnn</x:v>
      </x:c>
      <x:c r="D26" s="23" t="n">
        <x:v>41</x:v>
      </x:c>
      <x:c r="E26" s="23" t="n">
        <x:v>600</x:v>
      </x:c>
      <x:c r="F26" s="23" t="n">
        <x:v>635496</x:v>
      </x:c>
      <x:c r="G26" s="23" t="n">
        <x:v>79450</x:v>
      </x:c>
      <x:c r="H26" s="23" t="n">
        <x:v>79457</x:v>
      </x:c>
      <x:c r="I26" s="24" t="n">
        <x:v>0.5844963673168359</x:v>
      </x:c>
      <x:c r="J26" s="24" t="n">
        <x:v>0.15390624262893007</x:v>
      </x:c>
      <x:c r="K26" s="24" t="n">
        <x:v>0.36920130497288295</x:v>
      </x:c>
      <x:c r="L26" s="24" t="n">
        <x:v>0.24845728278160095</x:v>
      </x:c>
      <x:c r="M26" s="24" t="n">
        <x:v>0.5850126053254558</x:v>
      </x:c>
      <x:c r="N26" s="24" t="n">
        <x:v>0.15379111261313858</x:v>
      </x:c>
      <x:c r="O26" s="24" t="n">
        <x:v>0.3694018589692972</x:v>
      </x:c>
      <x:c r="P26" s="24"/>
      <x:c r="Q26" s="24"/>
      <x:c r="R26" s="24"/>
      <x:c r="S26" s="24"/>
      <x:c r="T26" s="24"/>
      <x:c r="U26" s="24"/>
      <x:c r="V26" s="24"/>
      <x:c r="W26" s="23" t="n">
        <x:v>2</x:v>
      </x:c>
      <x:c r="X26" s="23" t="n">
        <x:v>21</x:v>
      </x:c>
      <x:c r="Y26" s="25" t="n">
        <x:v>16.13708822951497</x:v>
      </x:c>
      <x:c r="Z26" s="23" t="str">
        <x:v>benchmark/preprocessing_training/dim_600/bin_max/hnmr/seed_41/cnn/hnmr/original/metrics.json</x:v>
      </x:c>
    </x:row>
    <x:row r="27">
      <x:c r="A27" s="23" t="str">
        <x:v>bin_max</x:v>
      </x:c>
      <x:c r="B27" s="23" t="str">
        <x:v>hnmr</x:v>
      </x:c>
      <x:c r="C27" s="23" t="str">
        <x:v>mps</x:v>
      </x:c>
      <x:c r="D27" s="23" t="n">
        <x:v>41</x:v>
      </x:c>
      <x:c r="E27" s="23" t="n">
        <x:v>600</x:v>
      </x:c>
      <x:c r="F27" s="23"/>
      <x:c r="G27" s="23"/>
      <x:c r="H27" s="23"/>
      <x:c r="I27" s="24" t="n">
        <x:v>0.7358</x:v>
      </x:c>
      <x:c r="J27" s="24" t="n">
        <x:v>0.423</x:v>
      </x:c>
      <x:c r="K27" s="24" t="n">
        <x:v>0.5794</x:v>
      </x:c>
      <x:c r="L27" s="24" t="n">
        <x:v>8.6276</x:v>
      </x:c>
      <x:c r="M27" s="24" t="n">
        <x:v>0.7350743496604119</x:v>
      </x:c>
      <x:c r="N27" s="24" t="n">
        <x:v>0.4169724156373249</x:v>
      </x:c>
      <x:c r="O27" s="24" t="n">
        <x:v>0.5760233826488683</x:v>
      </x:c>
      <x:c r="P27" s="24" t="n">
        <x:v>9.2122</x:v>
      </x:c>
      <x:c r="Q27" s="24" t="n">
        <x:v>0.1126</x:v>
      </x:c>
      <x:c r="R27" s="24" t="n">
        <x:v>0.7407</x:v>
      </x:c>
      <x:c r="S27" s="24" t="n">
        <x:v>0.7275</x:v>
      </x:c>
      <x:c r="T27" s="24" t="n">
        <x:v>0.4449</x:v>
      </x:c>
      <x:c r="U27" s="24" t="n">
        <x:v>0.7428</x:v>
      </x:c>
      <x:c r="V27" s="24" t="n">
        <x:v>0.4025</x:v>
      </x:c>
      <x:c r="W27" s="23" t="n">
        <x:v>139</x:v>
      </x:c>
      <x:c r="X27" s="23" t="n">
        <x:v>149</x:v>
      </x:c>
      <x:c r="Y27" s="25" t="n">
        <x:v>97.4</x:v>
      </x:c>
      <x:c r="Z27" s="23" t="str">
        <x:v>benchmark/preprocessing_training/dim_600/bin_max/hnmr/seed_41/mps/results/metrics.json</x:v>
      </x:c>
    </x:row>
    <x:row r="28">
      <x:c r="A28" s="23" t="str">
        <x:v>bin_max</x:v>
      </x:c>
      <x:c r="B28" s="23" t="str">
        <x:v>hnmr</x:v>
      </x:c>
      <x:c r="C28" s="23" t="str">
        <x:v>ttn</x:v>
      </x:c>
      <x:c r="D28" s="23" t="n">
        <x:v>41</x:v>
      </x:c>
      <x:c r="E28" s="23" t="n">
        <x:v>600</x:v>
      </x:c>
      <x:c r="F28" s="23"/>
      <x:c r="G28" s="23"/>
      <x:c r="H28" s="23"/>
      <x:c r="I28" s="24" t="n">
        <x:v>0.7185329716693596</x:v>
      </x:c>
      <x:c r="J28" s="24" t="n">
        <x:v>0.3468882028834527</x:v>
      </x:c>
      <x:c r="K28" s="24" t="n">
        <x:v>0.5327105872764062</x:v>
      </x:c>
      <x:c r="L28" s="24" t="n">
        <x:v>0.3179</x:v>
      </x:c>
      <x:c r="M28" s="24" t="n">
        <x:v>0.7192543560402028</x:v>
      </x:c>
      <x:c r="N28" s="24" t="n">
        <x:v>0.33945300010296914</x:v>
      </x:c>
      <x:c r="O28" s="24" t="n">
        <x:v>0.529353678071586</x:v>
      </x:c>
      <x:c r="P28" s="24" t="n">
        <x:v>0.318678</x:v>
      </x:c>
      <x:c r="Q28" s="24"/>
      <x:c r="R28" s="24"/>
      <x:c r="S28" s="24" t="n">
        <x:v>0.726391</x:v>
      </x:c>
      <x:c r="T28" s="24"/>
      <x:c r="U28" s="24" t="n">
        <x:v>0.712257</x:v>
      </x:c>
      <x:c r="V28" s="24"/>
      <x:c r="W28" s="23" t="n">
        <x:v>33</x:v>
      </x:c>
      <x:c r="X28" s="23" t="n">
        <x:v>53</x:v>
      </x:c>
      <x:c r="Y28" s="25" t="n">
        <x:v>15.628666666666668</x:v>
      </x:c>
      <x:c r="Z28" s="23" t="str">
        <x:v>benchmark/preprocessing_training/dim_600/bin_max/hnmr/seed_41/ttn/metrics.json</x:v>
      </x:c>
    </x:row>
    <x:row r="29">
      <x:c r="A29" s="23" t="str">
        <x:v>bin_max</x:v>
      </x:c>
      <x:c r="B29" s="23" t="str">
        <x:v>hnmr</x:v>
      </x:c>
      <x:c r="C29" s="23" t="str">
        <x:v>xgboost</x:v>
      </x:c>
      <x:c r="D29" s="23" t="n">
        <x:v>41</x:v>
      </x:c>
      <x:c r="E29" s="23" t="n">
        <x:v>600</x:v>
      </x:c>
      <x:c r="F29" s="23" t="n">
        <x:v>635496</x:v>
      </x:c>
      <x:c r="G29" s="23" t="n">
        <x:v>79450</x:v>
      </x:c>
      <x:c r="H29" s="23" t="n">
        <x:v>79457</x:v>
      </x:c>
      <x:c r="I29" s="24" t="n">
        <x:v>0.7706774670831403</x:v>
      </x:c>
      <x:c r="J29" s="24" t="n">
        <x:v>0.3999368136073114</x:v>
      </x:c>
      <x:c r="K29" s="24" t="n">
        <x:v>0.5853071403452259</x:v>
      </x:c>
      <x:c r="L29" s="24"/>
      <x:c r="M29" s="24" t="n">
        <x:v>0.7703149758280627</x:v>
      </x:c>
      <x:c r="N29" s="24" t="n">
        <x:v>0.38864605647140654</x:v>
      </x:c>
      <x:c r="O29" s="24" t="n">
        <x:v>0.5794805161497346</x:v>
      </x:c>
      <x:c r="P29" s="24"/>
      <x:c r="Q29" s="24"/>
      <x:c r="R29" s="24"/>
      <x:c r="S29" s="24"/>
      <x:c r="T29" s="24"/>
      <x:c r="U29" s="24"/>
      <x:c r="V29" s="24"/>
      <x:c r="W29" s="23"/>
      <x:c r="X29" s="23"/>
      <x:c r="Y29" s="25" t="n">
        <x:v>5.982091007533017</x:v>
      </x:c>
      <x:c r="Z29" s="23" t="str">
        <x:v>benchmark/preprocessing_training/dim_600/bin_max/hnmr/seed_41/xgboost/hnmr/original/metrics.json</x:v>
      </x:c>
    </x:row>
    <x:row r="30">
      <x:c r="A30" s="23" t="str">
        <x:v>bin_max</x:v>
      </x:c>
      <x:c r="B30" s="23" t="str">
        <x:v>ir</x:v>
      </x:c>
      <x:c r="C30" s="23" t="str">
        <x:v>cnn</x:v>
      </x:c>
      <x:c r="D30" s="23" t="n">
        <x:v>41</x:v>
      </x:c>
      <x:c r="E30" s="23" t="n">
        <x:v>600</x:v>
      </x:c>
      <x:c r="F30" s="23" t="n">
        <x:v>635496</x:v>
      </x:c>
      <x:c r="G30" s="23" t="n">
        <x:v>79450</x:v>
      </x:c>
      <x:c r="H30" s="23" t="n">
        <x:v>79457</x:v>
      </x:c>
      <x:c r="I30" s="24" t="n">
        <x:v>0.8837057274822331</x:v>
      </x:c>
      <x:c r="J30" s="24" t="n">
        <x:v>0.6555705712946642</x:v>
      </x:c>
      <x:c r="K30" s="24" t="n">
        <x:v>0.7696381493884487</x:v>
      </x:c>
      <x:c r="L30" s="24" t="n">
        <x:v>0.07622288167476654</x:v>
      </x:c>
      <x:c r="M30" s="24" t="n">
        <x:v>0.8838147555246695</x:v>
      </x:c>
      <x:c r="N30" s="24" t="n">
        <x:v>0.6614538748951656</x:v>
      </x:c>
      <x:c r="O30" s="24" t="n">
        <x:v>0.7726343152099175</x:v>
      </x:c>
      <x:c r="P30" s="24"/>
      <x:c r="Q30" s="24"/>
      <x:c r="R30" s="24"/>
      <x:c r="S30" s="24"/>
      <x:c r="T30" s="24"/>
      <x:c r="U30" s="24"/>
      <x:c r="V30" s="24"/>
      <x:c r="W30" s="23" t="n">
        <x:v>39</x:v>
      </x:c>
      <x:c r="X30" s="23" t="n">
        <x:v>41</x:v>
      </x:c>
      <x:c r="Y30" s="25" t="n">
        <x:v>33.10349189456708</x:v>
      </x:c>
      <x:c r="Z30" s="23" t="str">
        <x:v>benchmark/preprocessing_training/dim_600/bin_max/ir/seed_41/cnn/ir/original/metrics.json</x:v>
      </x:c>
    </x:row>
    <x:row r="31">
      <x:c r="A31" s="23" t="str">
        <x:v>bin_max</x:v>
      </x:c>
      <x:c r="B31" s="23" t="str">
        <x:v>ir</x:v>
      </x:c>
      <x:c r="C31" s="23" t="str">
        <x:v>mps</x:v>
      </x:c>
      <x:c r="D31" s="23" t="n">
        <x:v>41</x:v>
      </x:c>
      <x:c r="E31" s="23" t="n">
        <x:v>600</x:v>
      </x:c>
      <x:c r="F31" s="23"/>
      <x:c r="G31" s="23"/>
      <x:c r="H31" s="23"/>
      <x:c r="I31" s="24" t="n">
        <x:v>0.8411</x:v>
      </x:c>
      <x:c r="J31" s="24" t="n">
        <x:v>0.675</x:v>
      </x:c>
      <x:c r="K31" s="24" t="n">
        <x:v>0.75805</x:v>
      </x:c>
      <x:c r="L31" s="24" t="n">
        <x:v>4.5479</x:v>
      </x:c>
      <x:c r="M31" s="24" t="n">
        <x:v>0.8410406196288319</x:v>
      </x:c>
      <x:c r="N31" s="24" t="n">
        <x:v>0.6778307406501048</x:v>
      </x:c>
      <x:c r="O31" s="24" t="n">
        <x:v>0.7594356801394684</x:v>
      </x:c>
      <x:c r="P31" s="24" t="n">
        <x:v>4.1676</x:v>
      </x:c>
      <x:c r="Q31" s="24" t="n">
        <x:v>0.2553</x:v>
      </x:c>
      <x:c r="R31" s="24" t="n">
        <x:v>0.8397</x:v>
      </x:c>
      <x:c r="S31" s="24" t="n">
        <x:v>0.8693</x:v>
      </x:c>
      <x:c r="T31" s="24" t="n">
        <x:v>0.7504</x:v>
      </x:c>
      <x:c r="U31" s="24" t="n">
        <x:v>0.8146</x:v>
      </x:c>
      <x:c r="V31" s="24" t="n">
        <x:v>0.6397</x:v>
      </x:c>
      <x:c r="W31" s="23" t="n">
        <x:v>137</x:v>
      </x:c>
      <x:c r="X31" s="23" t="n">
        <x:v>141</x:v>
      </x:c>
      <x:c r="Y31" s="25" t="n">
        <x:v>91.6</x:v>
      </x:c>
      <x:c r="Z31" s="23" t="str">
        <x:v>benchmark/preprocessing_training/dim_600/bin_max/ir/seed_41/mps/results/metrics.json</x:v>
      </x:c>
    </x:row>
    <x:row r="32">
      <x:c r="A32" s="23" t="str">
        <x:v>bin_max</x:v>
      </x:c>
      <x:c r="B32" s="23" t="str">
        <x:v>ir</x:v>
      </x:c>
      <x:c r="C32" s="23" t="str">
        <x:v>ttn</x:v>
      </x:c>
      <x:c r="D32" s="23" t="n">
        <x:v>41</x:v>
      </x:c>
      <x:c r="E32" s="23" t="n">
        <x:v>600</x:v>
      </x:c>
      <x:c r="F32" s="23"/>
      <x:c r="G32" s="23"/>
      <x:c r="H32" s="23"/>
      <x:c r="I32" s="24" t="n">
        <x:v>0.8213531303616045</x:v>
      </x:c>
      <x:c r="J32" s="24" t="n">
        <x:v>0.5979815614994585</x:v>
      </x:c>
      <x:c r="K32" s="24" t="n">
        <x:v>0.7096673459305315</x:v>
      </x:c>
      <x:c r="L32" s="24" t="n">
        <x:v>0.191165</x:v>
      </x:c>
      <x:c r="M32" s="24" t="n">
        <x:v>0.8223016414218789</x:v>
      </x:c>
      <x:c r="N32" s="24" t="n">
        <x:v>0.583170794601943</x:v>
      </x:c>
      <x:c r="O32" s="24" t="n">
        <x:v>0.702736218011911</x:v>
      </x:c>
      <x:c r="P32" s="24" t="n">
        <x:v>0.190366</x:v>
      </x:c>
      <x:c r="Q32" s="24"/>
      <x:c r="R32" s="24"/>
      <x:c r="S32" s="24" t="n">
        <x:v>0.814146</x:v>
      </x:c>
      <x:c r="T32" s="24"/>
      <x:c r="U32" s="24" t="n">
        <x:v>0.830622</x:v>
      </x:c>
      <x:c r="V32" s="24"/>
      <x:c r="W32" s="23" t="n">
        <x:v>60</x:v>
      </x:c>
      <x:c r="X32" s="23" t="n">
        <x:v>80</x:v>
      </x:c>
      <x:c r="Y32" s="25" t="n">
        <x:v>23.7255</x:v>
      </x:c>
      <x:c r="Z32" s="23" t="str">
        <x:v>benchmark/preprocessing_training/dim_600/bin_max/ir/seed_41/ttn/metrics.json</x:v>
      </x:c>
    </x:row>
    <x:row r="33">
      <x:c r="A33" s="23" t="str">
        <x:v>bin_max</x:v>
      </x:c>
      <x:c r="B33" s="23" t="str">
        <x:v>ir</x:v>
      </x:c>
      <x:c r="C33" s="23" t="str">
        <x:v>xgboost</x:v>
      </x:c>
      <x:c r="D33" s="23" t="n">
        <x:v>41</x:v>
      </x:c>
      <x:c r="E33" s="23" t="n">
        <x:v>600</x:v>
      </x:c>
      <x:c r="F33" s="23" t="n">
        <x:v>635496</x:v>
      </x:c>
      <x:c r="G33" s="23" t="n">
        <x:v>79450</x:v>
      </x:c>
      <x:c r="H33" s="23" t="n">
        <x:v>79457</x:v>
      </x:c>
      <x:c r="I33" s="24" t="n">
        <x:v>0.8335726545585085</x:v>
      </x:c>
      <x:c r="J33" s="24" t="n">
        <x:v>0.548448205249179</x:v>
      </x:c>
      <x:c r="K33" s="24" t="n">
        <x:v>0.6910104299038438</x:v>
      </x:c>
      <x:c r="L33" s="24"/>
      <x:c r="M33" s="24" t="n">
        <x:v>0.8340541905082464</x:v>
      </x:c>
      <x:c r="N33" s="24" t="n">
        <x:v>0.5369436688585255</x:v>
      </x:c>
      <x:c r="O33" s="24" t="n">
        <x:v>0.685498929683386</x:v>
      </x:c>
      <x:c r="P33" s="24"/>
      <x:c r="Q33" s="24"/>
      <x:c r="R33" s="24"/>
      <x:c r="S33" s="24"/>
      <x:c r="T33" s="24"/>
      <x:c r="U33" s="24"/>
      <x:c r="V33" s="24"/>
      <x:c r="W33" s="23"/>
      <x:c r="X33" s="23"/>
      <x:c r="Y33" s="25" t="n">
        <x:v>5.8100637277006175</x:v>
      </x:c>
      <x:c r="Z33" s="23" t="str">
        <x:v>benchmark/preprocessing_training/dim_600/bin_max/ir/seed_41/xgboost/ir/original/metrics.json</x:v>
      </x:c>
    </x:row>
    <x:row r="34">
      <x:c r="A34" s="23" t="str">
        <x:v>bin_max</x:v>
      </x:c>
      <x:c r="B34" s="23" t="str">
        <x:v>msms_neg</x:v>
      </x:c>
      <x:c r="C34" s="23" t="str">
        <x:v>cnn</x:v>
      </x:c>
      <x:c r="D34" s="23" t="n">
        <x:v>41</x:v>
      </x:c>
      <x:c r="E34" s="23" t="n">
        <x:v>600</x:v>
      </x:c>
      <x:c r="F34" s="23" t="n">
        <x:v>635496</x:v>
      </x:c>
      <x:c r="G34" s="23" t="n">
        <x:v>79450</x:v>
      </x:c>
      <x:c r="H34" s="23" t="n">
        <x:v>79457</x:v>
      </x:c>
      <x:c r="I34" s="24" t="n">
        <x:v>0.7496478836963897</x:v>
      </x:c>
      <x:c r="J34" s="24" t="n">
        <x:v>0.2943016252106254</x:v>
      </x:c>
      <x:c r="K34" s="24" t="n">
        <x:v>0.5219747544535076</x:v>
      </x:c>
      <x:c r="L34" s="24" t="n">
        <x:v>0.14859114587306976</x:v>
      </x:c>
      <x:c r="M34" s="24" t="n">
        <x:v>0.7489421056658407</x:v>
      </x:c>
      <x:c r="N34" s="24" t="n">
        <x:v>0.2948735017349155</x:v>
      </x:c>
      <x:c r="O34" s="24" t="n">
        <x:v>0.5219078037003781</x:v>
      </x:c>
      <x:c r="P34" s="24"/>
      <x:c r="Q34" s="24"/>
      <x:c r="R34" s="24"/>
      <x:c r="S34" s="24"/>
      <x:c r="T34" s="24"/>
      <x:c r="U34" s="24"/>
      <x:c r="V34" s="24"/>
      <x:c r="W34" s="23" t="n">
        <x:v>18</x:v>
      </x:c>
      <x:c r="X34" s="23" t="n">
        <x:v>34</x:v>
      </x:c>
      <x:c r="Y34" s="25" t="n">
        <x:v>25.32430350818516</x:v>
      </x:c>
      <x:c r="Z34" s="23" t="str">
        <x:v>benchmark/preprocessing_training/dim_600/bin_max/msms_neg/seed_41/cnn/neg_msms/original/metrics.json</x:v>
      </x:c>
    </x:row>
    <x:row r="35">
      <x:c r="A35" s="23" t="str">
        <x:v>bin_max</x:v>
      </x:c>
      <x:c r="B35" s="23" t="str">
        <x:v>msms_neg</x:v>
      </x:c>
      <x:c r="C35" s="23" t="str">
        <x:v>mps</x:v>
      </x:c>
      <x:c r="D35" s="23" t="n">
        <x:v>41</x:v>
      </x:c>
      <x:c r="E35" s="23" t="n">
        <x:v>600</x:v>
      </x:c>
      <x:c r="F35" s="23"/>
      <x:c r="G35" s="23"/>
      <x:c r="H35" s="23"/>
      <x:c r="I35" s="24" t="n">
        <x:v>0.5697</x:v>
      </x:c>
      <x:c r="J35" s="24" t="n">
        <x:v>0.2891</x:v>
      </x:c>
      <x:c r="K35" s="24" t="n">
        <x:v>0.4294</x:v>
      </x:c>
      <x:c r="L35" s="24" t="n">
        <x:v>5.5318</x:v>
      </x:c>
      <x:c r="M35" s="24" t="n">
        <x:v>0.570345022746567</x:v>
      </x:c>
      <x:c r="N35" s="24" t="n">
        <x:v>0.2880188452132599</x:v>
      </x:c>
      <x:c r="O35" s="24" t="n">
        <x:v>0.42918193397991344</x:v>
      </x:c>
      <x:c r="P35" s="24" t="n">
        <x:v>5.7229</x:v>
      </x:c>
      <x:c r="Q35" s="24" t="n">
        <x:v>0.0183</x:v>
      </x:c>
      <x:c r="R35" s="24" t="n">
        <x:v>0.6463</x:v>
      </x:c>
      <x:c r="S35" s="24" t="n">
        <x:v>0.5016</x:v>
      </x:c>
      <x:c r="T35" s="24" t="n">
        <x:v>0.2461</x:v>
      </x:c>
      <x:c r="U35" s="24" t="n">
        <x:v>0.661</x:v>
      </x:c>
      <x:c r="V35" s="24" t="n">
        <x:v>0.478</x:v>
      </x:c>
      <x:c r="W35" s="23" t="n">
        <x:v>136</x:v>
      </x:c>
      <x:c r="X35" s="23" t="n">
        <x:v>156</x:v>
      </x:c>
      <x:c r="Y35" s="25" t="n">
        <x:v>101.8</x:v>
      </x:c>
      <x:c r="Z35" s="23" t="str">
        <x:v>benchmark/preprocessing_training/dim_600/bin_max/msms_neg/seed_41/mps/results/metrics.json</x:v>
      </x:c>
    </x:row>
    <x:row r="36">
      <x:c r="A36" s="23" t="str">
        <x:v>bin_max</x:v>
      </x:c>
      <x:c r="B36" s="23" t="str">
        <x:v>msms_neg</x:v>
      </x:c>
      <x:c r="C36" s="23" t="str">
        <x:v>ttn</x:v>
      </x:c>
      <x:c r="D36" s="23" t="n">
        <x:v>41</x:v>
      </x:c>
      <x:c r="E36" s="23" t="n">
        <x:v>600</x:v>
      </x:c>
      <x:c r="F36" s="23"/>
      <x:c r="G36" s="23"/>
      <x:c r="H36" s="23"/>
      <x:c r="I36" s="24" t="n">
        <x:v>0.6931256572561757</x:v>
      </x:c>
      <x:c r="J36" s="24" t="n">
        <x:v>0.31104567785925374</x:v>
      </x:c>
      <x:c r="K36" s="24" t="n">
        <x:v>0.5020856675577148</x:v>
      </x:c>
      <x:c r="L36" s="24" t="n">
        <x:v>0.352296</x:v>
      </x:c>
      <x:c r="M36" s="24" t="n">
        <x:v>0.6922578079181356</x:v>
      </x:c>
      <x:c r="N36" s="24" t="n">
        <x:v>0.3077658414209197</x:v>
      </x:c>
      <x:c r="O36" s="24" t="n">
        <x:v>0.5000118246695276</x:v>
      </x:c>
      <x:c r="P36" s="24" t="n">
        <x:v>0.352387</x:v>
      </x:c>
      <x:c r="Q36" s="24"/>
      <x:c r="R36" s="24"/>
      <x:c r="S36" s="24" t="n">
        <x:v>0.709043</x:v>
      </x:c>
      <x:c r="T36" s="24"/>
      <x:c r="U36" s="24" t="n">
        <x:v>0.676249</x:v>
      </x:c>
      <x:c r="V36" s="24"/>
      <x:c r="W36" s="23" t="n">
        <x:v>77</x:v>
      </x:c>
      <x:c r="X36" s="23" t="n">
        <x:v>97</x:v>
      </x:c>
      <x:c r="Y36" s="25" t="n">
        <x:v>28.078666666666667</x:v>
      </x:c>
      <x:c r="Z36" s="23" t="str">
        <x:v>benchmark/preprocessing_training/dim_600/bin_max/msms_neg/seed_41/ttn/metrics.json</x:v>
      </x:c>
    </x:row>
    <x:row r="37">
      <x:c r="A37" s="23" t="str">
        <x:v>bin_max</x:v>
      </x:c>
      <x:c r="B37" s="23" t="str">
        <x:v>msms_neg</x:v>
      </x:c>
      <x:c r="C37" s="23" t="str">
        <x:v>xgboost</x:v>
      </x:c>
      <x:c r="D37" s="23" t="n">
        <x:v>41</x:v>
      </x:c>
      <x:c r="E37" s="23" t="n">
        <x:v>600</x:v>
      </x:c>
      <x:c r="F37" s="23" t="n">
        <x:v>635496</x:v>
      </x:c>
      <x:c r="G37" s="23" t="n">
        <x:v>79450</x:v>
      </x:c>
      <x:c r="H37" s="23" t="n">
        <x:v>79457</x:v>
      </x:c>
      <x:c r="I37" s="24" t="n">
        <x:v>0.7215066832326504</x:v>
      </x:c>
      <x:c r="J37" s="24" t="n">
        <x:v>0.2738891272562637</x:v>
      </x:c>
      <x:c r="K37" s="24" t="n">
        <x:v>0.49769790524445706</x:v>
      </x:c>
      <x:c r="L37" s="24"/>
      <x:c r="M37" s="24" t="n">
        <x:v>0.7215433619592062</x:v>
      </x:c>
      <x:c r="N37" s="24" t="n">
        <x:v>0.27590131825722186</x:v>
      </x:c>
      <x:c r="O37" s="24" t="n">
        <x:v>0.49872234010821404</x:v>
      </x:c>
      <x:c r="P37" s="24"/>
      <x:c r="Q37" s="24"/>
      <x:c r="R37" s="24"/>
      <x:c r="S37" s="24"/>
      <x:c r="T37" s="24"/>
      <x:c r="U37" s="24"/>
      <x:c r="V37" s="24"/>
      <x:c r="W37" s="23"/>
      <x:c r="X37" s="23"/>
      <x:c r="Y37" s="25" t="n">
        <x:v>3.7492651257353526</x:v>
      </x:c>
      <x:c r="Z37" s="23" t="str">
        <x:v>benchmark/preprocessing_training/dim_600/bin_max/msms_neg/seed_41/xgboost/neg_msms/original/metrics.json</x:v>
      </x:c>
    </x:row>
    <x:row r="38">
      <x:c r="A38" s="23" t="str">
        <x:v>bin_max</x:v>
      </x:c>
      <x:c r="B38" s="23" t="str">
        <x:v>msms_pos</x:v>
      </x:c>
      <x:c r="C38" s="23" t="str">
        <x:v>cnn</x:v>
      </x:c>
      <x:c r="D38" s="23" t="n">
        <x:v>41</x:v>
      </x:c>
      <x:c r="E38" s="23" t="n">
        <x:v>600</x:v>
      </x:c>
      <x:c r="F38" s="23" t="n">
        <x:v>635496</x:v>
      </x:c>
      <x:c r="G38" s="23" t="n">
        <x:v>79450</x:v>
      </x:c>
      <x:c r="H38" s="23" t="n">
        <x:v>79457</x:v>
      </x:c>
      <x:c r="I38" s="24" t="n">
        <x:v>0.7186625286719502</x:v>
      </x:c>
      <x:c r="J38" s="24" t="n">
        <x:v>0.22574507975274516</x:v>
      </x:c>
      <x:c r="K38" s="24" t="n">
        <x:v>0.4722038042123477</x:v>
      </x:c>
      <x:c r="L38" s="24" t="n">
        <x:v>0.16243983805179596</x:v>
      </x:c>
      <x:c r="M38" s="24" t="n">
        <x:v>0.7182991000642159</x:v>
      </x:c>
      <x:c r="N38" s="24" t="n">
        <x:v>0.22695978774540598</x:v>
      </x:c>
      <x:c r="O38" s="24" t="n">
        <x:v>0.472629443904811</x:v>
      </x:c>
      <x:c r="P38" s="24"/>
      <x:c r="Q38" s="24"/>
      <x:c r="R38" s="24"/>
      <x:c r="S38" s="24"/>
      <x:c r="T38" s="24"/>
      <x:c r="U38" s="24"/>
      <x:c r="V38" s="24"/>
      <x:c r="W38" s="23" t="n">
        <x:v>33</x:v>
      </x:c>
      <x:c r="X38" s="23" t="n">
        <x:v>34</x:v>
      </x:c>
      <x:c r="Y38" s="25" t="n">
        <x:v>24.70680703530088</x:v>
      </x:c>
      <x:c r="Z38" s="23" t="str">
        <x:v>benchmark/preprocessing_training/dim_600/bin_max/msms_pos/seed_41/cnn/pos_msms/original/metrics.json</x:v>
      </x:c>
    </x:row>
    <x:row r="39">
      <x:c r="A39" s="23" t="str">
        <x:v>bin_max</x:v>
      </x:c>
      <x:c r="B39" s="23" t="str">
        <x:v>msms_pos</x:v>
      </x:c>
      <x:c r="C39" s="23" t="str">
        <x:v>mps</x:v>
      </x:c>
      <x:c r="D39" s="23" t="n">
        <x:v>41</x:v>
      </x:c>
      <x:c r="E39" s="23" t="n">
        <x:v>600</x:v>
      </x:c>
      <x:c r="F39" s="23"/>
      <x:c r="G39" s="23"/>
      <x:c r="H39" s="23"/>
      <x:c r="I39" s="24" t="n">
        <x:v>0.563</x:v>
      </x:c>
      <x:c r="J39" s="24" t="n">
        <x:v>0.2641</x:v>
      </x:c>
      <x:c r="K39" s="24" t="n">
        <x:v>0.41355</x:v>
      </x:c>
      <x:c r="L39" s="24" t="n">
        <x:v>7.0476</x:v>
      </x:c>
      <x:c r="M39" s="24" t="n">
        <x:v>0.5633165109703282</x:v>
      </x:c>
      <x:c r="N39" s="24" t="n">
        <x:v>0.2606360320066556</x:v>
      </x:c>
      <x:c r="O39" s="24" t="n">
        <x:v>0.4119762714884919</x:v>
      </x:c>
      <x:c r="P39" s="24" t="n">
        <x:v>7.1752</x:v>
      </x:c>
      <x:c r="Q39" s="24" t="n">
        <x:v>0.0102</x:v>
      </x:c>
      <x:c r="R39" s="24" t="n">
        <x:v>0.6341</x:v>
      </x:c>
      <x:c r="S39" s="24" t="n">
        <x:v>0.4895</x:v>
      </x:c>
      <x:c r="T39" s="24" t="n">
        <x:v>0.2211</x:v>
      </x:c>
      <x:c r="U39" s="24" t="n">
        <x:v>0.6633</x:v>
      </x:c>
      <x:c r="V39" s="24" t="n">
        <x:v>0.4091</x:v>
      </x:c>
      <x:c r="W39" s="23" t="n">
        <x:v>170</x:v>
      </x:c>
      <x:c r="X39" s="23" t="n">
        <x:v>190</x:v>
      </x:c>
      <x:c r="Y39" s="25" t="n">
        <x:v>123.7</x:v>
      </x:c>
      <x:c r="Z39" s="23" t="str">
        <x:v>benchmark/preprocessing_training/dim_600/bin_max/msms_pos/seed_41/mps/results/metrics.json</x:v>
      </x:c>
    </x:row>
    <x:row r="40">
      <x:c r="A40" s="23" t="str">
        <x:v>bin_max</x:v>
      </x:c>
      <x:c r="B40" s="23" t="str">
        <x:v>msms_pos</x:v>
      </x:c>
      <x:c r="C40" s="23" t="str">
        <x:v>ttn</x:v>
      </x:c>
      <x:c r="D40" s="23" t="n">
        <x:v>41</x:v>
      </x:c>
      <x:c r="E40" s="23" t="n">
        <x:v>600</x:v>
      </x:c>
      <x:c r="F40" s="23"/>
      <x:c r="G40" s="23"/>
      <x:c r="H40" s="23"/>
      <x:c r="I40" s="24" t="n">
        <x:v>0.665983168517694</x:v>
      </x:c>
      <x:c r="J40" s="24" t="n">
        <x:v>0.2592088871551498</x:v>
      </x:c>
      <x:c r="K40" s="24" t="n">
        <x:v>0.4625960278364219</x:v>
      </x:c>
      <x:c r="L40" s="24" t="n">
        <x:v>0.36513</x:v>
      </x:c>
      <x:c r="M40" s="24" t="n">
        <x:v>0.6659790952903175</x:v>
      </x:c>
      <x:c r="N40" s="24" t="n">
        <x:v>0.2575549420394528</x:v>
      </x:c>
      <x:c r="O40" s="24" t="n">
        <x:v>0.4617670186648851</x:v>
      </x:c>
      <x:c r="P40" s="24" t="n">
        <x:v>0.363971</x:v>
      </x:c>
      <x:c r="Q40" s="24"/>
      <x:c r="R40" s="24"/>
      <x:c r="S40" s="24" t="n">
        <x:v>0.688771</x:v>
      </x:c>
      <x:c r="T40" s="24"/>
      <x:c r="U40" s="24" t="n">
        <x:v>0.644647</x:v>
      </x:c>
      <x:c r="V40" s="24"/>
      <x:c r="W40" s="23" t="n">
        <x:v>30</x:v>
      </x:c>
      <x:c r="X40" s="23" t="n">
        <x:v>50</x:v>
      </x:c>
      <x:c r="Y40" s="25" t="n">
        <x:v>14.398333333333333</x:v>
      </x:c>
      <x:c r="Z40" s="23" t="str">
        <x:v>benchmark/preprocessing_training/dim_600/bin_max/msms_pos/seed_41/ttn/metrics.json</x:v>
      </x:c>
    </x:row>
    <x:row r="41">
      <x:c r="A41" s="23" t="str">
        <x:v>bin_max</x:v>
      </x:c>
      <x:c r="B41" s="23" t="str">
        <x:v>msms_pos</x:v>
      </x:c>
      <x:c r="C41" s="23" t="str">
        <x:v>xgboost</x:v>
      </x:c>
      <x:c r="D41" s="23" t="n">
        <x:v>41</x:v>
      </x:c>
      <x:c r="E41" s="23" t="n">
        <x:v>600</x:v>
      </x:c>
      <x:c r="F41" s="23" t="n">
        <x:v>635496</x:v>
      </x:c>
      <x:c r="G41" s="23" t="n">
        <x:v>79450</x:v>
      </x:c>
      <x:c r="H41" s="23" t="n">
        <x:v>79457</x:v>
      </x:c>
      <x:c r="I41" s="24" t="n">
        <x:v>0.688776353738664</x:v>
      </x:c>
      <x:c r="J41" s="24" t="n">
        <x:v>0.20175790299301202</x:v>
      </x:c>
      <x:c r="K41" s="24" t="n">
        <x:v>0.445267128365838</x:v>
      </x:c>
      <x:c r="L41" s="24"/>
      <x:c r="M41" s="24" t="n">
        <x:v>0.6889631287346497</x:v>
      </x:c>
      <x:c r="N41" s="24" t="n">
        <x:v>0.19918821295338637</x:v>
      </x:c>
      <x:c r="O41" s="24" t="n">
        <x:v>0.44407567084401806</x:v>
      </x:c>
      <x:c r="P41" s="24"/>
      <x:c r="Q41" s="24"/>
      <x:c r="R41" s="24"/>
      <x:c r="S41" s="24"/>
      <x:c r="T41" s="24"/>
      <x:c r="U41" s="24"/>
      <x:c r="V41" s="24"/>
      <x:c r="W41" s="23"/>
      <x:c r="X41" s="23"/>
      <x:c r="Y41" s="25" t="n">
        <x:v>3.617939985632741</x:v>
      </x:c>
      <x:c r="Z41" s="23" t="str">
        <x:v>benchmark/preprocessing_training/dim_600/bin_max/msms_pos/seed_41/xgboost/pos_msms/original/metrics.json</x:v>
      </x:c>
    </x:row>
    <x:row r="42">
      <x:c r="A42" s="23" t="str">
        <x:v>bin_mean</x:v>
      </x:c>
      <x:c r="B42" s="23" t="str">
        <x:v>cnmr</x:v>
      </x:c>
      <x:c r="C42" s="23" t="str">
        <x:v>cnn</x:v>
      </x:c>
      <x:c r="D42" s="23" t="n">
        <x:v>41</x:v>
      </x:c>
      <x:c r="E42" s="23" t="n">
        <x:v>600</x:v>
      </x:c>
      <x:c r="F42" s="23" t="n">
        <x:v>635496</x:v>
      </x:c>
      <x:c r="G42" s="23" t="n">
        <x:v>79450</x:v>
      </x:c>
      <x:c r="H42" s="23" t="n">
        <x:v>79457</x:v>
      </x:c>
      <x:c r="I42" s="24" t="n">
        <x:v>0.5312222839321571</x:v>
      </x:c>
      <x:c r="J42" s="24" t="n">
        <x:v>0.06826109457974382</x:v>
      </x:c>
      <x:c r="K42" s="24" t="n">
        <x:v>0.29974168925595046</x:v>
      </x:c>
      <x:c r="L42" s="24" t="n">
        <x:v>0.6898132562637329</x:v>
      </x:c>
      <x:c r="M42" s="24" t="n">
        <x:v>0.5305840655941652</x:v>
      </x:c>
      <x:c r="N42" s="24" t="n">
        <x:v>0.06807008479561744</x:v>
      </x:c>
      <x:c r="O42" s="24" t="n">
        <x:v>0.2993270751948913</x:v>
      </x:c>
      <x:c r="P42" s="24"/>
      <x:c r="Q42" s="24"/>
      <x:c r="R42" s="24"/>
      <x:c r="S42" s="24"/>
      <x:c r="T42" s="24"/>
      <x:c r="U42" s="24"/>
      <x:c r="V42" s="24"/>
      <x:c r="W42" s="23" t="n">
        <x:v>26</x:v>
      </x:c>
      <x:c r="X42" s="23" t="n">
        <x:v>45</x:v>
      </x:c>
      <x:c r="Y42" s="25" t="n">
        <x:v>33.92104472983628</x:v>
      </x:c>
      <x:c r="Z42" s="23" t="str">
        <x:v>benchmark/preprocessing_training/dim_600/bin_mean/cnmr/seed_41/cnn/cnmr/original/metrics.json</x:v>
      </x:c>
    </x:row>
    <x:row r="43">
      <x:c r="A43" s="23" t="str">
        <x:v>bin_mean</x:v>
      </x:c>
      <x:c r="B43" s="23" t="str">
        <x:v>cnmr</x:v>
      </x:c>
      <x:c r="C43" s="23" t="str">
        <x:v>mps</x:v>
      </x:c>
      <x:c r="D43" s="23" t="n">
        <x:v>41</x:v>
      </x:c>
      <x:c r="E43" s="23" t="n">
        <x:v>600</x:v>
      </x:c>
      <x:c r="F43" s="23"/>
      <x:c r="G43" s="23"/>
      <x:c r="H43" s="23"/>
      <x:c r="I43" s="24" t="n">
        <x:v>0.7062</x:v>
      </x:c>
      <x:c r="J43" s="24" t="n">
        <x:v>0.4084</x:v>
      </x:c>
      <x:c r="K43" s="24" t="n">
        <x:v>0.5573</x:v>
      </x:c>
      <x:c r="L43" s="24" t="n">
        <x:v>7.8518</x:v>
      </x:c>
      <x:c r="M43" s="24" t="n">
        <x:v>0.7065688514382763</x:v>
      </x:c>
      <x:c r="N43" s="24" t="n">
        <x:v>0.4028095570330984</x:v>
      </x:c>
      <x:c r="O43" s="24" t="n">
        <x:v>0.5546892042356873</x:v>
      </x:c>
      <x:c r="P43" s="24" t="n">
        <x:v>8.2498</x:v>
      </x:c>
      <x:c r="Q43" s="24" t="n">
        <x:v>0.0745</x:v>
      </x:c>
      <x:c r="R43" s="24" t="n">
        <x:v>0.7365</x:v>
      </x:c>
      <x:c r="S43" s="24" t="n">
        <x:v>0.6541</x:v>
      </x:c>
      <x:c r="T43" s="24" t="n">
        <x:v>0.3705</x:v>
      </x:c>
      <x:c r="U43" s="24" t="n">
        <x:v>0.7682</x:v>
      </x:c>
      <x:c r="V43" s="24" t="n">
        <x:v>0.4593</x:v>
      </x:c>
      <x:c r="W43" s="23" t="n">
        <x:v>173</x:v>
      </x:c>
      <x:c r="X43" s="23" t="n">
        <x:v>183</x:v>
      </x:c>
      <x:c r="Y43" s="25" t="n">
        <x:v>261.8</x:v>
      </x:c>
      <x:c r="Z43" s="23" t="str">
        <x:v>benchmark/preprocessing_training/dim_600/bin_mean/cnmr/seed_41/mps/results/metrics.json</x:v>
      </x:c>
    </x:row>
    <x:row r="44">
      <x:c r="A44" s="23" t="str">
        <x:v>bin_mean</x:v>
      </x:c>
      <x:c r="B44" s="23" t="str">
        <x:v>cnmr</x:v>
      </x:c>
      <x:c r="C44" s="23" t="str">
        <x:v>ttn</x:v>
      </x:c>
      <x:c r="D44" s="23" t="n">
        <x:v>41</x:v>
      </x:c>
      <x:c r="E44" s="23" t="n">
        <x:v>600</x:v>
      </x:c>
      <x:c r="F44" s="23"/>
      <x:c r="G44" s="23"/>
      <x:c r="H44" s="23"/>
      <x:c r="I44" s="24" t="n">
        <x:v>0.746538760425303</x:v>
      </x:c>
      <x:c r="J44" s="24" t="n">
        <x:v>0.3919569665527219</x:v>
      </x:c>
      <x:c r="K44" s="24" t="n">
        <x:v>0.5692478634890125</x:v>
      </x:c>
      <x:c r="L44" s="24" t="n">
        <x:v>0.303576</x:v>
      </x:c>
      <x:c r="M44" s="24" t="n">
        <x:v>0.74516655322377</x:v>
      </x:c>
      <x:c r="N44" s="24" t="n">
        <x:v>0.3879530861884967</x:v>
      </x:c>
      <x:c r="O44" s="24" t="n">
        <x:v>0.5665598197061333</x:v>
      </x:c>
      <x:c r="P44" s="24" t="n">
        <x:v>0.303356</x:v>
      </x:c>
      <x:c r="Q44" s="24"/>
      <x:c r="R44" s="24"/>
      <x:c r="S44" s="24" t="n">
        <x:v>0.735074</x:v>
      </x:c>
      <x:c r="T44" s="24"/>
      <x:c r="U44" s="24" t="n">
        <x:v>0.75554</x:v>
      </x:c>
      <x:c r="V44" s="24"/>
      <x:c r="W44" s="23" t="n">
        <x:v>56</x:v>
      </x:c>
      <x:c r="X44" s="23" t="n">
        <x:v>76</x:v>
      </x:c>
      <x:c r="Y44" s="25" t="n">
        <x:v>22.576166666666666</x:v>
      </x:c>
      <x:c r="Z44" s="23" t="str">
        <x:v>benchmark/preprocessing_training/dim_600/bin_mean/cnmr/seed_41/ttn/metrics.json</x:v>
      </x:c>
    </x:row>
    <x:row r="45">
      <x:c r="A45" s="23" t="str">
        <x:v>bin_mean</x:v>
      </x:c>
      <x:c r="B45" s="23" t="str">
        <x:v>cnmr</x:v>
      </x:c>
      <x:c r="C45" s="23" t="str">
        <x:v>xgboost</x:v>
      </x:c>
      <x:c r="D45" s="23" t="n">
        <x:v>41</x:v>
      </x:c>
      <x:c r="E45" s="23" t="n">
        <x:v>600</x:v>
      </x:c>
      <x:c r="F45" s="23" t="n">
        <x:v>635496</x:v>
      </x:c>
      <x:c r="G45" s="23" t="n">
        <x:v>79450</x:v>
      </x:c>
      <x:c r="H45" s="23" t="n">
        <x:v>79457</x:v>
      </x:c>
      <x:c r="I45" s="24" t="n">
        <x:v>0.7920898729064098</x:v>
      </x:c>
      <x:c r="J45" s="24" t="n">
        <x:v>0.4293098667995976</x:v>
      </x:c>
      <x:c r="K45" s="24" t="n">
        <x:v>0.6106998698530037</x:v>
      </x:c>
      <x:c r="L45" s="24"/>
      <x:c r="M45" s="24" t="n">
        <x:v>0.7918147461567612</x:v>
      </x:c>
      <x:c r="N45" s="24" t="n">
        <x:v>0.41929556990670824</x:v>
      </x:c>
      <x:c r="O45" s="24" t="n">
        <x:v>0.6055551580317347</x:v>
      </x:c>
      <x:c r="P45" s="24"/>
      <x:c r="Q45" s="24"/>
      <x:c r="R45" s="24"/>
      <x:c r="S45" s="24"/>
      <x:c r="T45" s="24"/>
      <x:c r="U45" s="24"/>
      <x:c r="V45" s="24"/>
      <x:c r="W45" s="23"/>
      <x:c r="X45" s="23"/>
      <x:c r="Y45" s="25" t="n">
        <x:v>3.8700173140503464</x:v>
      </x:c>
      <x:c r="Z45" s="23" t="str">
        <x:v>benchmark/preprocessing_training/dim_600/bin_mean/cnmr/seed_41/xgboost/cnmr/original/metrics.json</x:v>
      </x:c>
    </x:row>
    <x:row r="46">
      <x:c r="A46" s="23" t="str">
        <x:v>bin_mean</x:v>
      </x:c>
      <x:c r="B46" s="23" t="str">
        <x:v>hnmr</x:v>
      </x:c>
      <x:c r="C46" s="23" t="str">
        <x:v>cnn</x:v>
      </x:c>
      <x:c r="D46" s="23" t="n">
        <x:v>41</x:v>
      </x:c>
      <x:c r="E46" s="23" t="n">
        <x:v>600</x:v>
      </x:c>
      <x:c r="F46" s="23" t="n">
        <x:v>635496</x:v>
      </x:c>
      <x:c r="G46" s="23" t="n">
        <x:v>79450</x:v>
      </x:c>
      <x:c r="H46" s="23" t="n">
        <x:v>79457</x:v>
      </x:c>
      <x:c r="I46" s="24" t="n">
        <x:v>0.41807632257897825</x:v>
      </x:c>
      <x:c r="J46" s="24" t="n">
        <x:v>0.04612995637330353</x:v>
      </x:c>
      <x:c r="K46" s="24" t="n">
        <x:v>0.2321031394761409</x:v>
      </x:c>
      <x:c r="L46" s="24" t="n">
        <x:v>3.2356085777282715</x:v>
      </x:c>
      <x:c r="M46" s="24" t="n">
        <x:v>0.41812159182129377</x:v>
      </x:c>
      <x:c r="N46" s="24" t="n">
        <x:v>0.04614611755591589</x:v>
      </x:c>
      <x:c r="O46" s="24" t="n">
        <x:v>0.23213385468860484</x:v>
      </x:c>
      <x:c r="P46" s="24"/>
      <x:c r="Q46" s="24"/>
      <x:c r="R46" s="24"/>
      <x:c r="S46" s="24"/>
      <x:c r="T46" s="24"/>
      <x:c r="U46" s="24"/>
      <x:c r="V46" s="24"/>
      <x:c r="W46" s="23" t="n">
        <x:v>12</x:v>
      </x:c>
      <x:c r="X46" s="23" t="n">
        <x:v>21</x:v>
      </x:c>
      <x:c r="Y46" s="25" t="n">
        <x:v>16.285194131180955</x:v>
      </x:c>
      <x:c r="Z46" s="23" t="str">
        <x:v>benchmark/preprocessing_training/dim_600/bin_mean/hnmr/seed_41/cnn/hnmr/original/metrics.json</x:v>
      </x:c>
    </x:row>
    <x:row r="47">
      <x:c r="A47" s="23" t="str">
        <x:v>bin_mean</x:v>
      </x:c>
      <x:c r="B47" s="23" t="str">
        <x:v>hnmr</x:v>
      </x:c>
      <x:c r="C47" s="23" t="str">
        <x:v>mps</x:v>
      </x:c>
      <x:c r="D47" s="23" t="n">
        <x:v>41</x:v>
      </x:c>
      <x:c r="E47" s="23" t="n">
        <x:v>600</x:v>
      </x:c>
      <x:c r="F47" s="23"/>
      <x:c r="G47" s="23"/>
      <x:c r="H47" s="23"/>
      <x:c r="I47" s="24" t="n">
        <x:v>0.7407</x:v>
      </x:c>
      <x:c r="J47" s="24" t="n">
        <x:v>0.4255</x:v>
      </x:c>
      <x:c r="K47" s="24" t="n">
        <x:v>0.5831</x:v>
      </x:c>
      <x:c r="L47" s="24" t="n">
        <x:v>8.2889</x:v>
      </x:c>
      <x:c r="M47" s="24" t="n">
        <x:v>0.740375741079669</x:v>
      </x:c>
      <x:c r="N47" s="24" t="n">
        <x:v>0.4223366488886892</x:v>
      </x:c>
      <x:c r="O47" s="24" t="n">
        <x:v>0.5813561949841791</x:v>
      </x:c>
      <x:c r="P47" s="24" t="n">
        <x:v>8.9372</x:v>
      </x:c>
      <x:c r="Q47" s="24" t="n">
        <x:v>0.1167</x:v>
      </x:c>
      <x:c r="R47" s="24" t="n">
        <x:v>0.7473</x:v>
      </x:c>
      <x:c r="S47" s="24" t="n">
        <x:v>0.7329</x:v>
      </x:c>
      <x:c r="T47" s="24" t="n">
        <x:v>0.4538</x:v>
      </x:c>
      <x:c r="U47" s="24" t="n">
        <x:v>0.748</x:v>
      </x:c>
      <x:c r="V47" s="24" t="n">
        <x:v>0.4072</x:v>
      </x:c>
      <x:c r="W47" s="23" t="n">
        <x:v>182</x:v>
      </x:c>
      <x:c r="X47" s="23" t="n">
        <x:v>186</x:v>
      </x:c>
      <x:c r="Y47" s="25" t="n">
        <x:v>124.7</x:v>
      </x:c>
      <x:c r="Z47" s="23" t="str">
        <x:v>benchmark/preprocessing_training/dim_600/bin_mean/hnmr/seed_41/mps/results/metrics.json</x:v>
      </x:c>
    </x:row>
    <x:row r="48">
      <x:c r="A48" s="23" t="str">
        <x:v>bin_mean</x:v>
      </x:c>
      <x:c r="B48" s="23" t="str">
        <x:v>hnmr</x:v>
      </x:c>
      <x:c r="C48" s="23" t="str">
        <x:v>ttn</x:v>
      </x:c>
      <x:c r="D48" s="23" t="n">
        <x:v>41</x:v>
      </x:c>
      <x:c r="E48" s="23" t="n">
        <x:v>600</x:v>
      </x:c>
      <x:c r="F48" s="23"/>
      <x:c r="G48" s="23"/>
      <x:c r="H48" s="23"/>
      <x:c r="I48" s="24" t="n">
        <x:v>0.7188450294349295</x:v>
      </x:c>
      <x:c r="J48" s="24" t="n">
        <x:v>0.3500476012373492</x:v>
      </x:c>
      <x:c r="K48" s="24" t="n">
        <x:v>0.5344463153361393</x:v>
      </x:c>
      <x:c r="L48" s="24" t="n">
        <x:v>0.362488</x:v>
      </x:c>
      <x:c r="M48" s="24" t="n">
        <x:v>0.7195205296598858</x:v>
      </x:c>
      <x:c r="N48" s="24" t="n">
        <x:v>0.3443259248723464</x:v>
      </x:c>
      <x:c r="O48" s="24" t="n">
        <x:v>0.5319232272661161</x:v>
      </x:c>
      <x:c r="P48" s="24" t="n">
        <x:v>0.3643</x:v>
      </x:c>
      <x:c r="Q48" s="24"/>
      <x:c r="R48" s="24"/>
      <x:c r="S48" s="24" t="n">
        <x:v>0.729367</x:v>
      </x:c>
      <x:c r="T48" s="24"/>
      <x:c r="U48" s="24" t="n">
        <x:v>0.709936</x:v>
      </x:c>
      <x:c r="V48" s="24"/>
      <x:c r="W48" s="23" t="n">
        <x:v>67</x:v>
      </x:c>
      <x:c r="X48" s="23" t="n">
        <x:v>87</x:v>
      </x:c>
      <x:c r="Y48" s="25" t="n">
        <x:v>25.653333333333332</x:v>
      </x:c>
      <x:c r="Z48" s="23" t="str">
        <x:v>benchmark/preprocessing_training/dim_600/bin_mean/hnmr/seed_41/ttn/metrics.json</x:v>
      </x:c>
    </x:row>
    <x:row r="49">
      <x:c r="A49" s="23" t="str">
        <x:v>bin_mean</x:v>
      </x:c>
      <x:c r="B49" s="23" t="str">
        <x:v>hnmr</x:v>
      </x:c>
      <x:c r="C49" s="23" t="str">
        <x:v>xgboost</x:v>
      </x:c>
      <x:c r="D49" s="23" t="n">
        <x:v>41</x:v>
      </x:c>
      <x:c r="E49" s="23" t="n">
        <x:v>600</x:v>
      </x:c>
      <x:c r="F49" s="23" t="n">
        <x:v>635496</x:v>
      </x:c>
      <x:c r="G49" s="23" t="n">
        <x:v>79450</x:v>
      </x:c>
      <x:c r="H49" s="23" t="n">
        <x:v>79457</x:v>
      </x:c>
      <x:c r="I49" s="24" t="n">
        <x:v>0.7670855027605447</x:v>
      </x:c>
      <x:c r="J49" s="24" t="n">
        <x:v>0.3934152315183535</x:v>
      </x:c>
      <x:c r="K49" s="24" t="n">
        <x:v>0.5802503671394491</x:v>
      </x:c>
      <x:c r="L49" s="24"/>
      <x:c r="M49" s="24" t="n">
        <x:v>0.7673476359865864</x:v>
      </x:c>
      <x:c r="N49" s="24" t="n">
        <x:v>0.3831215434415222</x:v>
      </x:c>
      <x:c r="O49" s="24" t="n">
        <x:v>0.5752345897140543</x:v>
      </x:c>
      <x:c r="P49" s="24"/>
      <x:c r="Q49" s="24"/>
      <x:c r="R49" s="24"/>
      <x:c r="S49" s="24"/>
      <x:c r="T49" s="24"/>
      <x:c r="U49" s="24"/>
      <x:c r="V49" s="24"/>
      <x:c r="W49" s="23"/>
      <x:c r="X49" s="23"/>
      <x:c r="Y49" s="25" t="n">
        <x:v>4.045700993183224</x:v>
      </x:c>
      <x:c r="Z49" s="23" t="str">
        <x:v>benchmark/preprocessing_training/dim_600/bin_mean/hnmr/seed_41/xgboost/hnmr/original/metrics.json</x:v>
      </x:c>
    </x:row>
    <x:row r="50">
      <x:c r="A50" s="23" t="str">
        <x:v>bin_mean</x:v>
      </x:c>
      <x:c r="B50" s="23" t="str">
        <x:v>ir</x:v>
      </x:c>
      <x:c r="C50" s="23" t="str">
        <x:v>cnn</x:v>
      </x:c>
      <x:c r="D50" s="23" t="n">
        <x:v>41</x:v>
      </x:c>
      <x:c r="E50" s="23" t="n">
        <x:v>600</x:v>
      </x:c>
      <x:c r="F50" s="23" t="n">
        <x:v>635496</x:v>
      </x:c>
      <x:c r="G50" s="23" t="n">
        <x:v>79450</x:v>
      </x:c>
      <x:c r="H50" s="23" t="n">
        <x:v>79457</x:v>
      </x:c>
      <x:c r="I50" s="24" t="n">
        <x:v>0.888595694425606</x:v>
      </x:c>
      <x:c r="J50" s="24" t="n">
        <x:v>0.6667236114961403</x:v>
      </x:c>
      <x:c r="K50" s="24" t="n">
        <x:v>0.7776596529608732</x:v>
      </x:c>
      <x:c r="L50" s="24" t="n">
        <x:v>0.07160711288452148</x:v>
      </x:c>
      <x:c r="M50" s="24" t="n">
        <x:v>0.8896903377038765</x:v>
      </x:c>
      <x:c r="N50" s="24" t="n">
        <x:v>0.6755068768944641</x:v>
      </x:c>
      <x:c r="O50" s="24" t="n">
        <x:v>0.7825986072991703</x:v>
      </x:c>
      <x:c r="P50" s="24"/>
      <x:c r="Q50" s="24"/>
      <x:c r="R50" s="24"/>
      <x:c r="S50" s="24"/>
      <x:c r="T50" s="24"/>
      <x:c r="U50" s="24"/>
      <x:c r="V50" s="24"/>
      <x:c r="W50" s="23" t="n">
        <x:v>39</x:v>
      </x:c>
      <x:c r="X50" s="23" t="n">
        <x:v>45</x:v>
      </x:c>
      <x:c r="Y50" s="25" t="n">
        <x:v>36.30530866039917</x:v>
      </x:c>
      <x:c r="Z50" s="23" t="str">
        <x:v>benchmark/preprocessing_training/dim_600/bin_mean/ir/seed_41/cnn/ir/original/metrics.json</x:v>
      </x:c>
    </x:row>
    <x:row r="51">
      <x:c r="A51" s="23" t="str">
        <x:v>bin_mean</x:v>
      </x:c>
      <x:c r="B51" s="23" t="str">
        <x:v>ir</x:v>
      </x:c>
      <x:c r="C51" s="23" t="str">
        <x:v>mps</x:v>
      </x:c>
      <x:c r="D51" s="23" t="n">
        <x:v>41</x:v>
      </x:c>
      <x:c r="E51" s="23" t="n">
        <x:v>600</x:v>
      </x:c>
      <x:c r="F51" s="23"/>
      <x:c r="G51" s="23"/>
      <x:c r="H51" s="23"/>
      <x:c r="I51" s="24" t="n">
        <x:v>0.8495</x:v>
      </x:c>
      <x:c r="J51" s="24" t="n">
        <x:v>0.6899</x:v>
      </x:c>
      <x:c r="K51" s="24" t="n">
        <x:v>0.7697</x:v>
      </x:c>
      <x:c r="L51" s="24" t="n">
        <x:v>3.9299</x:v>
      </x:c>
      <x:c r="M51" s="24" t="n">
        <x:v>0.8502551255065987</x:v>
      </x:c>
      <x:c r="N51" s="24" t="n">
        <x:v>0.6980639536183159</x:v>
      </x:c>
      <x:c r="O51" s="24" t="n">
        <x:v>0.7741595395624572</x:v>
      </x:c>
      <x:c r="P51" s="24" t="n">
        <x:v>3.6746</x:v>
      </x:c>
      <x:c r="Q51" s="24" t="n">
        <x:v>0.2755</x:v>
      </x:c>
      <x:c r="R51" s="24" t="n">
        <x:v>0.8501</x:v>
      </x:c>
      <x:c r="S51" s="24" t="n">
        <x:v>0.8739</x:v>
      </x:c>
      <x:c r="T51" s="24" t="n">
        <x:v>0.7609</x:v>
      </x:c>
      <x:c r="U51" s="24" t="n">
        <x:v>0.8278</x:v>
      </x:c>
      <x:c r="V51" s="24" t="n">
        <x:v>0.6656</x:v>
      </x:c>
      <x:c r="W51" s="23" t="n">
        <x:v>168</x:v>
      </x:c>
      <x:c r="X51" s="23" t="n">
        <x:v>172</x:v>
      </x:c>
      <x:c r="Y51" s="25" t="n">
        <x:v>113.3</x:v>
      </x:c>
      <x:c r="Z51" s="23" t="str">
        <x:v>benchmark/preprocessing_training/dim_600/bin_mean/ir/seed_41/mps/results/metrics.json</x:v>
      </x:c>
    </x:row>
    <x:row r="52">
      <x:c r="A52" s="23" t="str">
        <x:v>bin_mean</x:v>
      </x:c>
      <x:c r="B52" s="23" t="str">
        <x:v>ir</x:v>
      </x:c>
      <x:c r="C52" s="23" t="str">
        <x:v>ttn</x:v>
      </x:c>
      <x:c r="D52" s="23" t="n">
        <x:v>41</x:v>
      </x:c>
      <x:c r="E52" s="23" t="n">
        <x:v>600</x:v>
      </x:c>
      <x:c r="F52" s="23"/>
      <x:c r="G52" s="23"/>
      <x:c r="H52" s="23"/>
      <x:c r="I52" s="24" t="n">
        <x:v>0.841933166733858</x:v>
      </x:c>
      <x:c r="J52" s="24" t="n">
        <x:v>0.6492831750068296</x:v>
      </x:c>
      <x:c r="K52" s="24" t="n">
        <x:v>0.7456081708703438</x:v>
      </x:c>
      <x:c r="L52" s="24" t="n">
        <x:v>0.219403</x:v>
      </x:c>
      <x:c r="M52" s="24" t="n">
        <x:v>0.8423392841900684</x:v>
      </x:c>
      <x:c r="N52" s="24" t="n">
        <x:v>0.6138048341834184</x:v>
      </x:c>
      <x:c r="O52" s="24" t="n">
        <x:v>0.7280720591867433</x:v>
      </x:c>
      <x:c r="P52" s="24" t="n">
        <x:v>0.219527</x:v>
      </x:c>
      <x:c r="Q52" s="24"/>
      <x:c r="R52" s="24"/>
      <x:c r="S52" s="24" t="n">
        <x:v>0.839868</x:v>
      </x:c>
      <x:c r="T52" s="24"/>
      <x:c r="U52" s="24" t="n">
        <x:v>0.844825</x:v>
      </x:c>
      <x:c r="V52" s="24"/>
      <x:c r="W52" s="23" t="n">
        <x:v>95</x:v>
      </x:c>
      <x:c r="X52" s="23" t="n">
        <x:v>115</x:v>
      </x:c>
      <x:c r="Y52" s="25" t="n">
        <x:v>34.027166666666666</x:v>
      </x:c>
      <x:c r="Z52" s="23" t="str">
        <x:v>benchmark/preprocessing_training/dim_600/bin_mean/ir/seed_41/ttn/metrics.json</x:v>
      </x:c>
    </x:row>
    <x:row r="53">
      <x:c r="A53" s="23" t="str">
        <x:v>bin_mean</x:v>
      </x:c>
      <x:c r="B53" s="23" t="str">
        <x:v>ir</x:v>
      </x:c>
      <x:c r="C53" s="23" t="str">
        <x:v>xgboost</x:v>
      </x:c>
      <x:c r="D53" s="23" t="n">
        <x:v>41</x:v>
      </x:c>
      <x:c r="E53" s="23" t="n">
        <x:v>600</x:v>
      </x:c>
      <x:c r="F53" s="23" t="n">
        <x:v>635496</x:v>
      </x:c>
      <x:c r="G53" s="23" t="n">
        <x:v>79450</x:v>
      </x:c>
      <x:c r="H53" s="23" t="n">
        <x:v>79457</x:v>
      </x:c>
      <x:c r="I53" s="24" t="n">
        <x:v>0.8400152132086447</x:v>
      </x:c>
      <x:c r="J53" s="24" t="n">
        <x:v>0.5620486452765635</x:v>
      </x:c>
      <x:c r="K53" s="24" t="n">
        <x:v>0.7010319292426042</x:v>
      </x:c>
      <x:c r="L53" s="24"/>
      <x:c r="M53" s="24" t="n">
        <x:v>0.8408962504265328</x:v>
      </x:c>
      <x:c r="N53" s="24" t="n">
        <x:v>0.5524147294331438</x:v>
      </x:c>
      <x:c r="O53" s="24" t="n">
        <x:v>0.6966554899298383</x:v>
      </x:c>
      <x:c r="P53" s="24"/>
      <x:c r="Q53" s="24"/>
      <x:c r="R53" s="24"/>
      <x:c r="S53" s="24"/>
      <x:c r="T53" s="24"/>
      <x:c r="U53" s="24"/>
      <x:c r="V53" s="24"/>
      <x:c r="W53" s="23"/>
      <x:c r="X53" s="23"/>
      <x:c r="Y53" s="25" t="n">
        <x:v>6.08421712743196</x:v>
      </x:c>
      <x:c r="Z53" s="23" t="str">
        <x:v>benchmark/preprocessing_training/dim_600/bin_mean/ir/seed_41/xgboost/ir/original/metrics.json</x:v>
      </x:c>
    </x:row>
    <x:row r="54">
      <x:c r="A54" s="23" t="str">
        <x:v>bin_mean</x:v>
      </x:c>
      <x:c r="B54" s="23" t="str">
        <x:v>msms_neg</x:v>
      </x:c>
      <x:c r="C54" s="23" t="str">
        <x:v>cnn</x:v>
      </x:c>
      <x:c r="D54" s="23" t="n">
        <x:v>41</x:v>
      </x:c>
      <x:c r="E54" s="23" t="n">
        <x:v>600</x:v>
      </x:c>
      <x:c r="F54" s="23" t="n">
        <x:v>635496</x:v>
      </x:c>
      <x:c r="G54" s="23" t="n">
        <x:v>79450</x:v>
      </x:c>
      <x:c r="H54" s="23" t="n">
        <x:v>79457</x:v>
      </x:c>
      <x:c r="I54" s="24" t="n">
        <x:v>0.7428296484762538</x:v>
      </x:c>
      <x:c r="J54" s="24" t="n">
        <x:v>0.28981393410032974</x:v>
      </x:c>
      <x:c r="K54" s="24" t="n">
        <x:v>0.5163217912882918</x:v>
      </x:c>
      <x:c r="L54" s="24" t="n">
        <x:v>0.15027795732021332</x:v>
      </x:c>
      <x:c r="M54" s="24" t="n">
        <x:v>0.7418165025547826</x:v>
      </x:c>
      <x:c r="N54" s="24" t="n">
        <x:v>0.2887777835933722</x:v>
      </x:c>
      <x:c r="O54" s="24" t="n">
        <x:v>0.5152971430740774</x:v>
      </x:c>
      <x:c r="P54" s="24"/>
      <x:c r="Q54" s="24"/>
      <x:c r="R54" s="24"/>
      <x:c r="S54" s="24"/>
      <x:c r="T54" s="24"/>
      <x:c r="U54" s="24"/>
      <x:c r="V54" s="24"/>
      <x:c r="W54" s="23" t="n">
        <x:v>15</x:v>
      </x:c>
      <x:c r="X54" s="23" t="n">
        <x:v>32</x:v>
      </x:c>
      <x:c r="Y54" s="25" t="n">
        <x:v>23.756815990731898</x:v>
      </x:c>
      <x:c r="Z54" s="23" t="str">
        <x:v>benchmark/preprocessing_training/dim_600/bin_mean/msms_neg/seed_41/cnn/neg_msms/original/metrics.json</x:v>
      </x:c>
    </x:row>
    <x:row r="55">
      <x:c r="A55" s="23" t="str">
        <x:v>bin_mean</x:v>
      </x:c>
      <x:c r="B55" s="23" t="str">
        <x:v>msms_neg</x:v>
      </x:c>
      <x:c r="C55" s="23" t="str">
        <x:v>mps</x:v>
      </x:c>
      <x:c r="D55" s="23" t="n">
        <x:v>41</x:v>
      </x:c>
      <x:c r="E55" s="23" t="n">
        <x:v>600</x:v>
      </x:c>
      <x:c r="F55" s="23"/>
      <x:c r="G55" s="23"/>
      <x:c r="H55" s="23"/>
      <x:c r="I55" s="24" t="n">
        <x:v>0.576</x:v>
      </x:c>
      <x:c r="J55" s="24" t="n">
        <x:v>0.2904</x:v>
      </x:c>
      <x:c r="K55" s="24" t="n">
        <x:v>0.4332</x:v>
      </x:c>
      <x:c r="L55" s="24" t="n">
        <x:v>5.8038</x:v>
      </x:c>
      <x:c r="M55" s="24" t="n">
        <x:v>0.5752034312743015</x:v>
      </x:c>
      <x:c r="N55" s="24" t="n">
        <x:v>0.2882770666158111</x:v>
      </x:c>
      <x:c r="O55" s="24" t="n">
        <x:v>0.4317402489450563</x:v>
      </x:c>
      <x:c r="P55" s="24" t="n">
        <x:v>5.8787</x:v>
      </x:c>
      <x:c r="Q55" s="24" t="n">
        <x:v>0.02</x:v>
      </x:c>
      <x:c r="R55" s="24" t="n">
        <x:v>0.6481</x:v>
      </x:c>
      <x:c r="S55" s="24" t="n">
        <x:v>0.5088</x:v>
      </x:c>
      <x:c r="T55" s="24" t="n">
        <x:v>0.2469</x:v>
      </x:c>
      <x:c r="U55" s="24" t="n">
        <x:v>0.6615</x:v>
      </x:c>
      <x:c r="V55" s="24" t="n">
        <x:v>0.4691</x:v>
      </x:c>
      <x:c r="W55" s="23" t="n">
        <x:v>140</x:v>
      </x:c>
      <x:c r="X55" s="23" t="n">
        <x:v>160</x:v>
      </x:c>
      <x:c r="Y55" s="25" t="n">
        <x:v>106.4</x:v>
      </x:c>
      <x:c r="Z55" s="23" t="str">
        <x:v>benchmark/preprocessing_training/dim_600/bin_mean/msms_neg/seed_41/mps/results/metrics.json</x:v>
      </x:c>
    </x:row>
    <x:row r="56">
      <x:c r="A56" s="23" t="str">
        <x:v>bin_mean</x:v>
      </x:c>
      <x:c r="B56" s="23" t="str">
        <x:v>msms_neg</x:v>
      </x:c>
      <x:c r="C56" s="23" t="str">
        <x:v>ttn</x:v>
      </x:c>
      <x:c r="D56" s="23" t="n">
        <x:v>41</x:v>
      </x:c>
      <x:c r="E56" s="23" t="n">
        <x:v>600</x:v>
      </x:c>
      <x:c r="F56" s="23"/>
      <x:c r="G56" s="23"/>
      <x:c r="H56" s="23"/>
      <x:c r="I56" s="24" t="n">
        <x:v>0.6962590670759868</x:v>
      </x:c>
      <x:c r="J56" s="24" t="n">
        <x:v>0.3254367005320025</x:v>
      </x:c>
      <x:c r="K56" s="24" t="n">
        <x:v>0.5108478838039947</x:v>
      </x:c>
      <x:c r="L56" s="24" t="n">
        <x:v>0.334452</x:v>
      </x:c>
      <x:c r="M56" s="24" t="n">
        <x:v>0.694716189556123</x:v>
      </x:c>
      <x:c r="N56" s="24" t="n">
        <x:v>0.3183366931093246</x:v>
      </x:c>
      <x:c r="O56" s="24" t="n">
        <x:v>0.5065264413327238</x:v>
      </x:c>
      <x:c r="P56" s="24" t="n">
        <x:v>0.334883</x:v>
      </x:c>
      <x:c r="Q56" s="24"/>
      <x:c r="R56" s="24"/>
      <x:c r="S56" s="24" t="n">
        <x:v>0.71636</x:v>
      </x:c>
      <x:c r="T56" s="24"/>
      <x:c r="U56" s="24" t="n">
        <x:v>0.674342</x:v>
      </x:c>
      <x:c r="V56" s="24"/>
      <x:c r="W56" s="23" t="n">
        <x:v>69</x:v>
      </x:c>
      <x:c r="X56" s="23" t="n">
        <x:v>89</x:v>
      </x:c>
      <x:c r="Y56" s="25" t="n">
        <x:v>25.471166666666665</x:v>
      </x:c>
      <x:c r="Z56" s="23" t="str">
        <x:v>benchmark/preprocessing_training/dim_600/bin_mean/msms_neg/seed_41/ttn/metrics.json</x:v>
      </x:c>
    </x:row>
    <x:row r="57">
      <x:c r="A57" s="23" t="str">
        <x:v>bin_mean</x:v>
      </x:c>
      <x:c r="B57" s="23" t="str">
        <x:v>msms_neg</x:v>
      </x:c>
      <x:c r="C57" s="23" t="str">
        <x:v>xgboost</x:v>
      </x:c>
      <x:c r="D57" s="23" t="n">
        <x:v>41</x:v>
      </x:c>
      <x:c r="E57" s="23" t="n">
        <x:v>600</x:v>
      </x:c>
      <x:c r="F57" s="23" t="n">
        <x:v>635496</x:v>
      </x:c>
      <x:c r="G57" s="23" t="n">
        <x:v>79450</x:v>
      </x:c>
      <x:c r="H57" s="23" t="n">
        <x:v>79457</x:v>
      </x:c>
      <x:c r="I57" s="24" t="n">
        <x:v>0.7217867326060373</x:v>
      </x:c>
      <x:c r="J57" s="24" t="n">
        <x:v>0.2830420606075876</x:v>
      </x:c>
      <x:c r="K57" s="24" t="n">
        <x:v>0.5024143966068124</x:v>
      </x:c>
      <x:c r="L57" s="24"/>
      <x:c r="M57" s="24" t="n">
        <x:v>0.7215347594949266</x:v>
      </x:c>
      <x:c r="N57" s="24" t="n">
        <x:v>0.2762017212138508</x:v>
      </x:c>
      <x:c r="O57" s="24" t="n">
        <x:v>0.4988682403543887</x:v>
      </x:c>
      <x:c r="P57" s="24"/>
      <x:c r="Q57" s="24"/>
      <x:c r="R57" s="24"/>
      <x:c r="S57" s="24"/>
      <x:c r="T57" s="24"/>
      <x:c r="U57" s="24"/>
      <x:c r="V57" s="24"/>
      <x:c r="W57" s="23"/>
      <x:c r="X57" s="23"/>
      <x:c r="Y57" s="25" t="n">
        <x:v>3.4046718014831034</x:v>
      </x:c>
      <x:c r="Z57" s="23" t="str">
        <x:v>benchmark/preprocessing_training/dim_600/bin_mean/msms_neg/seed_41/xgboost/neg_msms/original/metrics.json</x:v>
      </x:c>
    </x:row>
    <x:row r="58">
      <x:c r="A58" s="23" t="str">
        <x:v>bin_mean</x:v>
      </x:c>
      <x:c r="B58" s="23" t="str">
        <x:v>msms_pos</x:v>
      </x:c>
      <x:c r="C58" s="23" t="str">
        <x:v>cnn</x:v>
      </x:c>
      <x:c r="D58" s="23" t="n">
        <x:v>41</x:v>
      </x:c>
      <x:c r="E58" s="23" t="n">
        <x:v>600</x:v>
      </x:c>
      <x:c r="F58" s="23" t="n">
        <x:v>635496</x:v>
      </x:c>
      <x:c r="G58" s="23" t="n">
        <x:v>79450</x:v>
      </x:c>
      <x:c r="H58" s="23" t="n">
        <x:v>79457</x:v>
      </x:c>
      <x:c r="I58" s="24" t="n">
        <x:v>0.7278046969052653</x:v>
      </x:c>
      <x:c r="J58" s="24" t="n">
        <x:v>0.25491271464755366</x:v>
      </x:c>
      <x:c r="K58" s="24" t="n">
        <x:v>0.4913587057764095</x:v>
      </x:c>
      <x:c r="L58" s="24" t="n">
        <x:v>0.16054195165634155</x:v>
      </x:c>
      <x:c r="M58" s="24" t="n">
        <x:v>0.7277571468557427</x:v>
      </x:c>
      <x:c r="N58" s="24" t="n">
        <x:v>0.25283537343991264</x:v>
      </x:c>
      <x:c r="O58" s="24" t="n">
        <x:v>0.4902962601478277</x:v>
      </x:c>
      <x:c r="P58" s="24"/>
      <x:c r="Q58" s="24"/>
      <x:c r="R58" s="24"/>
      <x:c r="S58" s="24"/>
      <x:c r="T58" s="24"/>
      <x:c r="U58" s="24"/>
      <x:c r="V58" s="24"/>
      <x:c r="W58" s="23" t="n">
        <x:v>34</x:v>
      </x:c>
      <x:c r="X58" s="23" t="n">
        <x:v>41</x:v>
      </x:c>
      <x:c r="Y58" s="25" t="n">
        <x:v>30.003119044867343</x:v>
      </x:c>
      <x:c r="Z58" s="23" t="str">
        <x:v>benchmark/preprocessing_training/dim_600/bin_mean/msms_pos/seed_41/cnn/pos_msms/original/metrics.json</x:v>
      </x:c>
    </x:row>
    <x:row r="59">
      <x:c r="A59" s="23" t="str">
        <x:v>bin_mean</x:v>
      </x:c>
      <x:c r="B59" s="23" t="str">
        <x:v>msms_pos</x:v>
      </x:c>
      <x:c r="C59" s="23" t="str">
        <x:v>mps</x:v>
      </x:c>
      <x:c r="D59" s="23" t="n">
        <x:v>41</x:v>
      </x:c>
      <x:c r="E59" s="23" t="n">
        <x:v>600</x:v>
      </x:c>
      <x:c r="F59" s="23"/>
      <x:c r="G59" s="23"/>
      <x:c r="H59" s="23"/>
      <x:c r="I59" s="24" t="n">
        <x:v>0.5649</x:v>
      </x:c>
      <x:c r="J59" s="24" t="n">
        <x:v>0.2657</x:v>
      </x:c>
      <x:c r="K59" s="24" t="n">
        <x:v>0.4153</x:v>
      </x:c>
      <x:c r="L59" s="24" t="n">
        <x:v>7.3637</x:v>
      </x:c>
      <x:c r="M59" s="24" t="n">
        <x:v>0.565329788349285</x:v>
      </x:c>
      <x:c r="N59" s="24" t="n">
        <x:v>0.2627591880943783</x:v>
      </x:c>
      <x:c r="O59" s="24" t="n">
        <x:v>0.4140444882218317</x:v>
      </x:c>
      <x:c r="P59" s="24" t="n">
        <x:v>7.5265</x:v>
      </x:c>
      <x:c r="Q59" s="24" t="n">
        <x:v>0.0099</x:v>
      </x:c>
      <x:c r="R59" s="24" t="n">
        <x:v>0.6357</x:v>
      </x:c>
      <x:c r="S59" s="24" t="n">
        <x:v>0.4902</x:v>
      </x:c>
      <x:c r="T59" s="24" t="n">
        <x:v>0.2222</x:v>
      </x:c>
      <x:c r="U59" s="24" t="n">
        <x:v>0.6676</x:v>
      </x:c>
      <x:c r="V59" s="24" t="n">
        <x:v>0.4129</x:v>
      </x:c>
      <x:c r="W59" s="23" t="n">
        <x:v>199</x:v>
      </x:c>
      <x:c r="X59" s="23" t="n">
        <x:v>200</x:v>
      </x:c>
      <x:c r="Y59" s="25" t="n">
        <x:v>133</x:v>
      </x:c>
      <x:c r="Z59" s="23" t="str">
        <x:v>benchmark/preprocessing_training/dim_600/bin_mean/msms_pos/seed_41/mps/results/metrics.json</x:v>
      </x:c>
    </x:row>
    <x:row r="60">
      <x:c r="A60" s="23" t="str">
        <x:v>bin_mean</x:v>
      </x:c>
      <x:c r="B60" s="23" t="str">
        <x:v>msms_pos</x:v>
      </x:c>
      <x:c r="C60" s="23" t="str">
        <x:v>ttn</x:v>
      </x:c>
      <x:c r="D60" s="23" t="n">
        <x:v>41</x:v>
      </x:c>
      <x:c r="E60" s="23" t="n">
        <x:v>600</x:v>
      </x:c>
      <x:c r="F60" s="23"/>
      <x:c r="G60" s="23"/>
      <x:c r="H60" s="23"/>
      <x:c r="I60" s="24" t="n">
        <x:v>0.6784485424748041</x:v>
      </x:c>
      <x:c r="J60" s="24" t="n">
        <x:v>0.25726309865709684</x:v>
      </x:c>
      <x:c r="K60" s="24" t="n">
        <x:v>0.4678558205659505</x:v>
      </x:c>
      <x:c r="L60" s="24" t="n">
        <x:v>0.354553</x:v>
      </x:c>
      <x:c r="M60" s="24" t="n">
        <x:v>0.6793361683954815</x:v>
      </x:c>
      <x:c r="N60" s="24" t="n">
        <x:v>0.2560599939593704</x:v>
      </x:c>
      <x:c r="O60" s="24" t="n">
        <x:v>0.46769808117742595</x:v>
      </x:c>
      <x:c r="P60" s="24" t="n">
        <x:v>0.353921</x:v>
      </x:c>
      <x:c r="Q60" s="24"/>
      <x:c r="R60" s="24"/>
      <x:c r="S60" s="24" t="n">
        <x:v>0.717191</x:v>
      </x:c>
      <x:c r="T60" s="24"/>
      <x:c r="U60" s="24" t="n">
        <x:v>0.645277</x:v>
      </x:c>
      <x:c r="V60" s="24"/>
      <x:c r="W60" s="23" t="n">
        <x:v>4</x:v>
      </x:c>
      <x:c r="X60" s="23" t="n">
        <x:v>70</x:v>
      </x:c>
      <x:c r="Y60" s="25" t="n">
        <x:v>20.177833333333336</x:v>
      </x:c>
      <x:c r="Z60" s="23" t="str">
        <x:v>benchmark/preprocessing_training/dim_600/bin_mean/msms_pos/seed_41/ttn/metrics.json</x:v>
      </x:c>
    </x:row>
    <x:row r="61">
      <x:c r="A61" s="23" t="str">
        <x:v>bin_mean</x:v>
      </x:c>
      <x:c r="B61" s="23" t="str">
        <x:v>msms_pos</x:v>
      </x:c>
      <x:c r="C61" s="23" t="str">
        <x:v>xgboost</x:v>
      </x:c>
      <x:c r="D61" s="23" t="n">
        <x:v>41</x:v>
      </x:c>
      <x:c r="E61" s="23" t="n">
        <x:v>600</x:v>
      </x:c>
      <x:c r="F61" s="23" t="n">
        <x:v>635496</x:v>
      </x:c>
      <x:c r="G61" s="23" t="n">
        <x:v>79450</x:v>
      </x:c>
      <x:c r="H61" s="23" t="n">
        <x:v>79457</x:v>
      </x:c>
      <x:c r="I61" s="24" t="n">
        <x:v>0.6884514580348067</x:v>
      </x:c>
      <x:c r="J61" s="24" t="n">
        <x:v>0.2000744316834375</x:v>
      </x:c>
      <x:c r="K61" s="24" t="n">
        <x:v>0.4442629448591221</x:v>
      </x:c>
      <x:c r="L61" s="24"/>
      <x:c r="M61" s="24" t="n">
        <x:v>0.6890686026742636</x:v>
      </x:c>
      <x:c r="N61" s="24" t="n">
        <x:v>0.19828723580929902</x:v>
      </x:c>
      <x:c r="O61" s="24" t="n">
        <x:v>0.44367791924178135</x:v>
      </x:c>
      <x:c r="P61" s="24"/>
      <x:c r="Q61" s="24"/>
      <x:c r="R61" s="24"/>
      <x:c r="S61" s="24"/>
      <x:c r="T61" s="24"/>
      <x:c r="U61" s="24"/>
      <x:c r="V61" s="24"/>
      <x:c r="W61" s="23"/>
      <x:c r="X61" s="23"/>
      <x:c r="Y61" s="25" t="n">
        <x:v>3.3062208693668556</x:v>
      </x:c>
      <x:c r="Z61" s="23" t="str">
        <x:v>benchmark/preprocessing_training/dim_600/bin_mean/msms_pos/seed_41/xgboost/pos_msms/original/metrics.json</x:v>
      </x:c>
    </x:row>
    <x:row r="62">
      <x:c r="A62" s="23" t="str">
        <x:v>derivative</x:v>
      </x:c>
      <x:c r="B62" s="23" t="str">
        <x:v>cnmr</x:v>
      </x:c>
      <x:c r="C62" s="23" t="str">
        <x:v>cnn</x:v>
      </x:c>
      <x:c r="D62" s="23" t="n">
        <x:v>41</x:v>
      </x:c>
      <x:c r="E62" s="23" t="n">
        <x:v>600</x:v>
      </x:c>
      <x:c r="F62" s="23" t="n">
        <x:v>635496</x:v>
      </x:c>
      <x:c r="G62" s="23" t="n">
        <x:v>79450</x:v>
      </x:c>
      <x:c r="H62" s="23" t="n">
        <x:v>79457</x:v>
      </x:c>
      <x:c r="I62" s="24" t="n">
        <x:v>0.6094922422238634</x:v>
      </x:c>
      <x:c r="J62" s="24" t="n">
        <x:v>0.10023640967049273</x:v>
      </x:c>
      <x:c r="K62" s="24" t="n">
        <x:v>0.3548643259471781</x:v>
      </x:c>
      <x:c r="L62" s="24" t="n">
        <x:v>0.7647687196731567</x:v>
      </x:c>
      <x:c r="M62" s="24" t="n">
        <x:v>0.6104047300275253</x:v>
      </x:c>
      <x:c r="N62" s="24" t="n">
        <x:v>0.1007599368936903</x:v>
      </x:c>
      <x:c r="O62" s="24" t="n">
        <x:v>0.3555823334606078</x:v>
      </x:c>
      <x:c r="P62" s="24"/>
      <x:c r="Q62" s="24"/>
      <x:c r="R62" s="24"/>
      <x:c r="S62" s="24"/>
      <x:c r="T62" s="24"/>
      <x:c r="U62" s="24"/>
      <x:c r="V62" s="24"/>
      <x:c r="W62" s="23" t="n">
        <x:v>2</x:v>
      </x:c>
      <x:c r="X62" s="23" t="n">
        <x:v>23</x:v>
      </x:c>
      <x:c r="Y62" s="25" t="n">
        <x:v>16.95727493870072</x:v>
      </x:c>
      <x:c r="Z62" s="23" t="str">
        <x:v>benchmark/preprocessing_training/dim_600/derivative/cnmr/seed_41/cnn/cnmr/original/metrics.json</x:v>
      </x:c>
    </x:row>
    <x:row r="63">
      <x:c r="A63" s="23" t="str">
        <x:v>derivative</x:v>
      </x:c>
      <x:c r="B63" s="23" t="str">
        <x:v>cnmr</x:v>
      </x:c>
      <x:c r="C63" s="23" t="str">
        <x:v>mps</x:v>
      </x:c>
      <x:c r="D63" s="23" t="n">
        <x:v>41</x:v>
      </x:c>
      <x:c r="E63" s="23" t="n">
        <x:v>600</x:v>
      </x:c>
      <x:c r="F63" s="23"/>
      <x:c r="G63" s="23"/>
      <x:c r="H63" s="23"/>
      <x:c r="I63" s="24" t="n">
        <x:v>0.3309</x:v>
      </x:c>
      <x:c r="J63" s="24" t="n">
        <x:v>0.182</x:v>
      </x:c>
      <x:c r="K63" s="24" t="n">
        <x:v>0.25645</x:v>
      </x:c>
      <x:c r="L63" s="24" t="n">
        <x:v>1.2518</x:v>
      </x:c>
      <x:c r="M63" s="24" t="n">
        <x:v>0.3313895350945821</x:v>
      </x:c>
      <x:c r="N63" s="24" t="n">
        <x:v>0.1823402270695649</x:v>
      </x:c>
      <x:c r="O63" s="24" t="n">
        <x:v>0.2568648810820735</x:v>
      </x:c>
      <x:c r="P63" s="24" t="n">
        <x:v>1.2488</x:v>
      </x:c>
      <x:c r="Q63" s="24" t="n">
        <x:v>0.0001</x:v>
      </x:c>
      <x:c r="R63" s="24" t="n">
        <x:v>0.5797</x:v>
      </x:c>
      <x:c r="S63" s="24" t="n">
        <x:v>0.2197</x:v>
      </x:c>
      <x:c r="T63" s="24" t="n">
        <x:v>0.1552</x:v>
      </x:c>
      <x:c r="U63" s="24" t="n">
        <x:v>0.6739</x:v>
      </x:c>
      <x:c r="V63" s="24" t="n">
        <x:v>0.5253</x:v>
      </x:c>
      <x:c r="W63" s="23" t="n">
        <x:v>6</x:v>
      </x:c>
      <x:c r="X63" s="23" t="n">
        <x:v>16</x:v>
      </x:c>
      <x:c r="Y63" s="25" t="n">
        <x:v>23.3</x:v>
      </x:c>
      <x:c r="Z63" s="23" t="str">
        <x:v>benchmark/preprocessing_training/dim_600/derivative/cnmr/seed_41/mps/results/metrics.json</x:v>
      </x:c>
    </x:row>
    <x:row r="64">
      <x:c r="A64" s="23" t="str">
        <x:v>derivative</x:v>
      </x:c>
      <x:c r="B64" s="23" t="str">
        <x:v>cnmr</x:v>
      </x:c>
      <x:c r="C64" s="23" t="str">
        <x:v>ttn</x:v>
      </x:c>
      <x:c r="D64" s="23" t="n">
        <x:v>41</x:v>
      </x:c>
      <x:c r="E64" s="23" t="n">
        <x:v>600</x:v>
      </x:c>
      <x:c r="F64" s="23"/>
      <x:c r="G64" s="23"/>
      <x:c r="H64" s="23"/>
      <x:c r="I64" s="24" t="n">
        <x:v>0.7042607999305712</x:v>
      </x:c>
      <x:c r="J64" s="24" t="n">
        <x:v>0.320071269768877</x:v>
      </x:c>
      <x:c r="K64" s="24" t="n">
        <x:v>0.5121660348497241</x:v>
      </x:c>
      <x:c r="L64" s="24" t="n">
        <x:v>0.352512</x:v>
      </x:c>
      <x:c r="M64" s="24" t="n">
        <x:v>0.7046476210482092</x:v>
      </x:c>
      <x:c r="N64" s="24" t="n">
        <x:v>0.31542637797879625</x:v>
      </x:c>
      <x:c r="O64" s="24" t="n">
        <x:v>0.5100369995135028</x:v>
      </x:c>
      <x:c r="P64" s="24" t="n">
        <x:v>0.352241</x:v>
      </x:c>
      <x:c r="Q64" s="24"/>
      <x:c r="R64" s="24"/>
      <x:c r="S64" s="24" t="n">
        <x:v>0.702429</x:v>
      </x:c>
      <x:c r="T64" s="24"/>
      <x:c r="U64" s="24" t="n">
        <x:v>0.706881</x:v>
      </x:c>
      <x:c r="V64" s="24"/>
      <x:c r="W64" s="23" t="n">
        <x:v>49</x:v>
      </x:c>
      <x:c r="X64" s="23" t="n">
        <x:v>69</x:v>
      </x:c>
      <x:c r="Y64" s="25" t="n">
        <x:v>20.4235</x:v>
      </x:c>
      <x:c r="Z64" s="23" t="str">
        <x:v>benchmark/preprocessing_training/dim_600/derivative/cnmr/seed_41/ttn/metrics.json</x:v>
      </x:c>
    </x:row>
    <x:row r="65">
      <x:c r="A65" s="23" t="str">
        <x:v>derivative</x:v>
      </x:c>
      <x:c r="B65" s="23" t="str">
        <x:v>cnmr</x:v>
      </x:c>
      <x:c r="C65" s="23" t="str">
        <x:v>xgboost</x:v>
      </x:c>
      <x:c r="D65" s="23" t="n">
        <x:v>41</x:v>
      </x:c>
      <x:c r="E65" s="23" t="n">
        <x:v>600</x:v>
      </x:c>
      <x:c r="F65" s="23" t="n">
        <x:v>635496</x:v>
      </x:c>
      <x:c r="G65" s="23" t="n">
        <x:v>79450</x:v>
      </x:c>
      <x:c r="H65" s="23" t="n">
        <x:v>79457</x:v>
      </x:c>
      <x:c r="I65" s="24" t="n">
        <x:v>0.7804473196369971</x:v>
      </x:c>
      <x:c r="J65" s="24" t="n">
        <x:v>0.3998087161165445</x:v>
      </x:c>
      <x:c r="K65" s="24" t="n">
        <x:v>0.5901280178767708</x:v>
      </x:c>
      <x:c r="L65" s="24"/>
      <x:c r="M65" s="24" t="n">
        <x:v>0.7804541335671412</x:v>
      </x:c>
      <x:c r="N65" s="24" t="n">
        <x:v>0.39055429022312227</x:v>
      </x:c>
      <x:c r="O65" s="24" t="n">
        <x:v>0.5855042118951317</x:v>
      </x:c>
      <x:c r="P65" s="24"/>
      <x:c r="Q65" s="24"/>
      <x:c r="R65" s="24"/>
      <x:c r="S65" s="24"/>
      <x:c r="T65" s="24"/>
      <x:c r="U65" s="24"/>
      <x:c r="V65" s="24"/>
      <x:c r="W65" s="23"/>
      <x:c r="X65" s="23"/>
      <x:c r="Y65" s="25" t="n">
        <x:v>3.6169670486822723</x:v>
      </x:c>
      <x:c r="Z65" s="23" t="str">
        <x:v>benchmark/preprocessing_training/dim_600/derivative/cnmr/seed_41/xgboost/cnmr/original/metrics.json</x:v>
      </x:c>
    </x:row>
    <x:row r="66">
      <x:c r="A66" s="23" t="str">
        <x:v>derivative</x:v>
      </x:c>
      <x:c r="B66" s="23" t="str">
        <x:v>hnmr</x:v>
      </x:c>
      <x:c r="C66" s="23" t="str">
        <x:v>cnn</x:v>
      </x:c>
      <x:c r="D66" s="23" t="n">
        <x:v>41</x:v>
      </x:c>
      <x:c r="E66" s="23" t="n">
        <x:v>600</x:v>
      </x:c>
      <x:c r="F66" s="23" t="n">
        <x:v>635496</x:v>
      </x:c>
      <x:c r="G66" s="23" t="n">
        <x:v>79450</x:v>
      </x:c>
      <x:c r="H66" s="23" t="n">
        <x:v>79457</x:v>
      </x:c>
      <x:c r="I66" s="24" t="n">
        <x:v>0.552937653230394</x:v>
      </x:c>
      <x:c r="J66" s="24" t="n">
        <x:v>0.07813436748341872</x:v>
      </x:c>
      <x:c r="K66" s="24" t="n">
        <x:v>0.31553601035690637</x:v>
      </x:c>
      <x:c r="L66" s="24" t="n">
        <x:v>0.8201332688331604</x:v>
      </x:c>
      <x:c r="M66" s="24" t="n">
        <x:v>0.5528710646718548</x:v>
      </x:c>
      <x:c r="N66" s="24" t="n">
        <x:v>0.07805740018356873</x:v>
      </x:c>
      <x:c r="O66" s="24" t="n">
        <x:v>0.31546423242771177</x:v>
      </x:c>
      <x:c r="P66" s="24"/>
      <x:c r="Q66" s="24"/>
      <x:c r="R66" s="24"/>
      <x:c r="S66" s="24"/>
      <x:c r="T66" s="24"/>
      <x:c r="U66" s="24"/>
      <x:c r="V66" s="24"/>
      <x:c r="W66" s="23" t="n">
        <x:v>20</x:v>
      </x:c>
      <x:c r="X66" s="23" t="n">
        <x:v>21</x:v>
      </x:c>
      <x:c r="Y66" s="25" t="n">
        <x:v>15.584370210949176</x:v>
      </x:c>
      <x:c r="Z66" s="23" t="str">
        <x:v>benchmark/preprocessing_training/dim_600/derivative/hnmr/seed_41/cnn/hnmr/original/metrics.json</x:v>
      </x:c>
    </x:row>
    <x:row r="67">
      <x:c r="A67" s="23" t="str">
        <x:v>derivative</x:v>
      </x:c>
      <x:c r="B67" s="23" t="str">
        <x:v>hnmr</x:v>
      </x:c>
      <x:c r="C67" s="23" t="str">
        <x:v>mps</x:v>
      </x:c>
      <x:c r="D67" s="23" t="n">
        <x:v>41</x:v>
      </x:c>
      <x:c r="E67" s="23" t="n">
        <x:v>600</x:v>
      </x:c>
      <x:c r="F67" s="23"/>
      <x:c r="G67" s="23"/>
      <x:c r="H67" s="23"/>
      <x:c r="I67" s="24" t="n">
        <x:v>0.658</x:v>
      </x:c>
      <x:c r="J67" s="24" t="n">
        <x:v>0.3266</x:v>
      </x:c>
      <x:c r="K67" s="24" t="n">
        <x:v>0.4923</x:v>
      </x:c>
      <x:c r="L67" s="24" t="n">
        <x:v>11.3726</x:v>
      </x:c>
      <x:c r="M67" s="24" t="n">
        <x:v>0.6578579266826848</x:v>
      </x:c>
      <x:c r="N67" s="24" t="n">
        <x:v>0.3240792888133897</x:v>
      </x:c>
      <x:c r="O67" s="24" t="n">
        <x:v>0.4909686077480373</x:v>
      </x:c>
      <x:c r="P67" s="24" t="n">
        <x:v>11.0693</x:v>
      </x:c>
      <x:c r="Q67" s="24" t="n">
        <x:v>0.038</x:v>
      </x:c>
      <x:c r="R67" s="24" t="n">
        <x:v>0.6798</x:v>
      </x:c>
      <x:c r="S67" s="24" t="n">
        <x:v>0.624</x:v>
      </x:c>
      <x:c r="T67" s="24" t="n">
        <x:v>0.3286</x:v>
      </x:c>
      <x:c r="U67" s="24" t="n">
        <x:v>0.6956</x:v>
      </x:c>
      <x:c r="V67" s="24" t="n">
        <x:v>0.334</x:v>
      </x:c>
      <x:c r="W67" s="23" t="n">
        <x:v>192</x:v>
      </x:c>
      <x:c r="X67" s="23" t="n">
        <x:v>196</x:v>
      </x:c>
      <x:c r="Y67" s="25" t="n">
        <x:v>130.3</x:v>
      </x:c>
      <x:c r="Z67" s="23" t="str">
        <x:v>benchmark/preprocessing_training/dim_600/derivative/hnmr/seed_41/mps/results/metrics.json</x:v>
      </x:c>
    </x:row>
    <x:row r="68">
      <x:c r="A68" s="23" t="str">
        <x:v>derivative</x:v>
      </x:c>
      <x:c r="B68" s="23" t="str">
        <x:v>hnmr</x:v>
      </x:c>
      <x:c r="C68" s="23" t="str">
        <x:v>ttn</x:v>
      </x:c>
      <x:c r="D68" s="23" t="n">
        <x:v>41</x:v>
      </x:c>
      <x:c r="E68" s="23" t="n">
        <x:v>600</x:v>
      </x:c>
      <x:c r="F68" s="23"/>
      <x:c r="G68" s="23"/>
      <x:c r="H68" s="23"/>
      <x:c r="I68" s="24" t="n">
        <x:v>0.6768020316679347</x:v>
      </x:c>
      <x:c r="J68" s="24" t="n">
        <x:v>0.28931140132929994</x:v>
      </x:c>
      <x:c r="K68" s="24" t="n">
        <x:v>0.48305671649861737</x:v>
      </x:c>
      <x:c r="L68" s="24" t="n">
        <x:v>0.4496</x:v>
      </x:c>
      <x:c r="M68" s="24" t="n">
        <x:v>0.6777692903444837</x:v>
      </x:c>
      <x:c r="N68" s="24" t="n">
        <x:v>0.283768064567012</x:v>
      </x:c>
      <x:c r="O68" s="24" t="n">
        <x:v>0.48076867745574786</x:v>
      </x:c>
      <x:c r="P68" s="24" t="n">
        <x:v>0.449198</x:v>
      </x:c>
      <x:c r="Q68" s="24"/>
      <x:c r="R68" s="24"/>
      <x:c r="S68" s="24" t="n">
        <x:v>0.682492</x:v>
      </x:c>
      <x:c r="T68" s="24"/>
      <x:c r="U68" s="24" t="n">
        <x:v>0.673111</x:v>
      </x:c>
      <x:c r="V68" s="24"/>
      <x:c r="W68" s="23" t="n">
        <x:v>71</x:v>
      </x:c>
      <x:c r="X68" s="23" t="n">
        <x:v>91</x:v>
      </x:c>
      <x:c r="Y68" s="25" t="n">
        <x:v>26.796833333333332</x:v>
      </x:c>
      <x:c r="Z68" s="23" t="str">
        <x:v>benchmark/preprocessing_training/dim_600/derivative/hnmr/seed_41/ttn/metrics.json</x:v>
      </x:c>
    </x:row>
    <x:row r="69">
      <x:c r="A69" s="23" t="str">
        <x:v>derivative</x:v>
      </x:c>
      <x:c r="B69" s="23" t="str">
        <x:v>hnmr</x:v>
      </x:c>
      <x:c r="C69" s="23" t="str">
        <x:v>xgboost</x:v>
      </x:c>
      <x:c r="D69" s="23" t="n">
        <x:v>41</x:v>
      </x:c>
      <x:c r="E69" s="23" t="n">
        <x:v>600</x:v>
      </x:c>
      <x:c r="F69" s="23" t="n">
        <x:v>635496</x:v>
      </x:c>
      <x:c r="G69" s="23" t="n">
        <x:v>79450</x:v>
      </x:c>
      <x:c r="H69" s="23" t="n">
        <x:v>79457</x:v>
      </x:c>
      <x:c r="I69" s="24" t="n">
        <x:v>0.75500030938306</x:v>
      </x:c>
      <x:c r="J69" s="24" t="n">
        <x:v>0.3537906749127794</x:v>
      </x:c>
      <x:c r="K69" s="24" t="n">
        <x:v>0.5543954921479197</x:v>
      </x:c>
      <x:c r="L69" s="24"/>
      <x:c r="M69" s="24" t="n">
        <x:v>0.7550087417074562</x:v>
      </x:c>
      <x:c r="N69" s="24" t="n">
        <x:v>0.3433373796302558</x:v>
      </x:c>
      <x:c r="O69" s="24" t="n">
        <x:v>0.5491730606688561</x:v>
      </x:c>
      <x:c r="P69" s="24"/>
      <x:c r="Q69" s="24"/>
      <x:c r="R69" s="24"/>
      <x:c r="S69" s="24"/>
      <x:c r="T69" s="24"/>
      <x:c r="U69" s="24"/>
      <x:c r="V69" s="24"/>
      <x:c r="W69" s="23"/>
      <x:c r="X69" s="23"/>
      <x:c r="Y69" s="25" t="n">
        <x:v>4.259295903685658</x:v>
      </x:c>
      <x:c r="Z69" s="23" t="str">
        <x:v>benchmark/preprocessing_training/dim_600/derivative/hnmr/seed_41/xgboost/hnmr/original/metrics.json</x:v>
      </x:c>
    </x:row>
    <x:row r="70">
      <x:c r="A70" s="23" t="str">
        <x:v>derivative</x:v>
      </x:c>
      <x:c r="B70" s="23" t="str">
        <x:v>ir</x:v>
      </x:c>
      <x:c r="C70" s="23" t="str">
        <x:v>cnn</x:v>
      </x:c>
      <x:c r="D70" s="23" t="n">
        <x:v>41</x:v>
      </x:c>
      <x:c r="E70" s="23" t="n">
        <x:v>600</x:v>
      </x:c>
      <x:c r="F70" s="23" t="n">
        <x:v>635496</x:v>
      </x:c>
      <x:c r="G70" s="23" t="n">
        <x:v>79450</x:v>
      </x:c>
      <x:c r="H70" s="23" t="n">
        <x:v>79457</x:v>
      </x:c>
      <x:c r="I70" s="24" t="n">
        <x:v>0.839380046683568</x:v>
      </x:c>
      <x:c r="J70" s="24" t="n">
        <x:v>0.5369005035484747</x:v>
      </x:c>
      <x:c r="K70" s="24" t="n">
        <x:v>0.6881402751160214</x:v>
      </x:c>
      <x:c r="L70" s="24" t="n">
        <x:v>0.10767772048711777</x:v>
      </x:c>
      <x:c r="M70" s="24" t="n">
        <x:v>0.840385189567178</x:v>
      </x:c>
      <x:c r="N70" s="24" t="n">
        <x:v>0.5375647462293281</x:v>
      </x:c>
      <x:c r="O70" s="24" t="n">
        <x:v>0.6889749678982531</x:v>
      </x:c>
      <x:c r="P70" s="24"/>
      <x:c r="Q70" s="24"/>
      <x:c r="R70" s="24"/>
      <x:c r="S70" s="24"/>
      <x:c r="T70" s="24"/>
      <x:c r="U70" s="24"/>
      <x:c r="V70" s="24"/>
      <x:c r="W70" s="23" t="n">
        <x:v>20</x:v>
      </x:c>
      <x:c r="X70" s="23" t="n">
        <x:v>26</x:v>
      </x:c>
      <x:c r="Y70" s="25" t="n">
        <x:v>21.206204423999104</x:v>
      </x:c>
      <x:c r="Z70" s="23" t="str">
        <x:v>benchmark/preprocessing_training/dim_600/derivative/ir/seed_41/cnn/ir/original/metrics.json</x:v>
      </x:c>
    </x:row>
    <x:row r="71">
      <x:c r="A71" s="23" t="str">
        <x:v>derivative</x:v>
      </x:c>
      <x:c r="B71" s="23" t="str">
        <x:v>ir</x:v>
      </x:c>
      <x:c r="C71" s="23" t="str">
        <x:v>mps</x:v>
      </x:c>
      <x:c r="D71" s="23" t="n">
        <x:v>41</x:v>
      </x:c>
      <x:c r="E71" s="23" t="n">
        <x:v>600</x:v>
      </x:c>
      <x:c r="F71" s="23"/>
      <x:c r="G71" s="23"/>
      <x:c r="H71" s="23"/>
      <x:c r="I71" s="24" t="n">
        <x:v>0.811</x:v>
      </x:c>
      <x:c r="J71" s="24" t="n">
        <x:v>0.6122</x:v>
      </x:c>
      <x:c r="K71" s="24" t="n">
        <x:v>0.7116</x:v>
      </x:c>
      <x:c r="L71" s="24" t="n">
        <x:v>5.6079</x:v>
      </x:c>
      <x:c r="M71" s="24" t="n">
        <x:v>0.8113351192851471</x:v>
      </x:c>
      <x:c r="N71" s="24" t="n">
        <x:v>0.6047268607525432</x:v>
      </x:c>
      <x:c r="O71" s="24" t="n">
        <x:v>0.7080309900188452</x:v>
      </x:c>
      <x:c r="P71" s="24" t="n">
        <x:v>5.373</x:v>
      </x:c>
      <x:c r="Q71" s="24" t="n">
        <x:v>0.1937</x:v>
      </x:c>
      <x:c r="R71" s="24" t="n">
        <x:v>0.8098</x:v>
      </x:c>
      <x:c r="S71" s="24" t="n">
        <x:v>0.84</x:v>
      </x:c>
      <x:c r="T71" s="24" t="n">
        <x:v>0.6732</x:v>
      </x:c>
      <x:c r="U71" s="24" t="n">
        <x:v>0.7846</x:v>
      </x:c>
      <x:c r="V71" s="24" t="n">
        <x:v>0.57</x:v>
      </x:c>
      <x:c r="W71" s="23" t="n">
        <x:v>146</x:v>
      </x:c>
      <x:c r="X71" s="23" t="n">
        <x:v>156</x:v>
      </x:c>
      <x:c r="Y71" s="25" t="n">
        <x:v>102.1</x:v>
      </x:c>
      <x:c r="Z71" s="23" t="str">
        <x:v>benchmark/preprocessing_training/dim_600/derivative/ir/seed_41/mps/results/metrics.json</x:v>
      </x:c>
    </x:row>
    <x:row r="72">
      <x:c r="A72" s="23" t="str">
        <x:v>derivative</x:v>
      </x:c>
      <x:c r="B72" s="23" t="str">
        <x:v>ir</x:v>
      </x:c>
      <x:c r="C72" s="23" t="str">
        <x:v>ttn</x:v>
      </x:c>
      <x:c r="D72" s="23" t="n">
        <x:v>41</x:v>
      </x:c>
      <x:c r="E72" s="23" t="n">
        <x:v>600</x:v>
      </x:c>
      <x:c r="F72" s="23"/>
      <x:c r="G72" s="23"/>
      <x:c r="H72" s="23"/>
      <x:c r="I72" s="24" t="n">
        <x:v>0.8125053533190578</x:v>
      </x:c>
      <x:c r="J72" s="24" t="n">
        <x:v>0.5597773315366363</x:v>
      </x:c>
      <x:c r="K72" s="24" t="n">
        <x:v>0.6861413424278471</x:v>
      </x:c>
      <x:c r="L72" s="24" t="n">
        <x:v>0.219992</x:v>
      </x:c>
      <x:c r="M72" s="24" t="n">
        <x:v>0.8126506206459034</x:v>
      </x:c>
      <x:c r="N72" s="24" t="n">
        <x:v>0.5544168027816883</x:v>
      </x:c>
      <x:c r="O72" s="24" t="n">
        <x:v>0.6835337117137958</x:v>
      </x:c>
      <x:c r="P72" s="24" t="n">
        <x:v>0.22156</x:v>
      </x:c>
      <x:c r="Q72" s="24"/>
      <x:c r="R72" s="24"/>
      <x:c r="S72" s="24" t="n">
        <x:v>0.812117</x:v>
      </x:c>
      <x:c r="T72" s="24"/>
      <x:c r="U72" s="24" t="n">
        <x:v>0.813185</x:v>
      </x:c>
      <x:c r="V72" s="24"/>
      <x:c r="W72" s="23" t="n">
        <x:v>56</x:v>
      </x:c>
      <x:c r="X72" s="23" t="n">
        <x:v>76</x:v>
      </x:c>
      <x:c r="Y72" s="25" t="n">
        <x:v>22.3455</x:v>
      </x:c>
      <x:c r="Z72" s="23" t="str">
        <x:v>benchmark/preprocessing_training/dim_600/derivative/ir/seed_41/ttn/metrics.json</x:v>
      </x:c>
    </x:row>
    <x:row r="73">
      <x:c r="A73" s="23" t="str">
        <x:v>derivative</x:v>
      </x:c>
      <x:c r="B73" s="23" t="str">
        <x:v>ir</x:v>
      </x:c>
      <x:c r="C73" s="23" t="str">
        <x:v>xgboost</x:v>
      </x:c>
      <x:c r="D73" s="23" t="n">
        <x:v>41</x:v>
      </x:c>
      <x:c r="E73" s="23" t="n">
        <x:v>600</x:v>
      </x:c>
      <x:c r="F73" s="23" t="n">
        <x:v>635496</x:v>
      </x:c>
      <x:c r="G73" s="23" t="n">
        <x:v>79450</x:v>
      </x:c>
      <x:c r="H73" s="23" t="n">
        <x:v>79457</x:v>
      </x:c>
      <x:c r="I73" s="24" t="n">
        <x:v>0.8172078284760037</x:v>
      </x:c>
      <x:c r="J73" s="24" t="n">
        <x:v>0.5077050082134223</x:v>
      </x:c>
      <x:c r="K73" s="24" t="n">
        <x:v>0.662456418344713</x:v>
      </x:c>
      <x:c r="L73" s="24"/>
      <x:c r="M73" s="24" t="n">
        <x:v>0.8181311846197342</x:v>
      </x:c>
      <x:c r="N73" s="24" t="n">
        <x:v>0.4996740001658303</x:v>
      </x:c>
      <x:c r="O73" s="24" t="n">
        <x:v>0.6589025923927823</x:v>
      </x:c>
      <x:c r="P73" s="24"/>
      <x:c r="Q73" s="24"/>
      <x:c r="R73" s="24"/>
      <x:c r="S73" s="24"/>
      <x:c r="T73" s="24"/>
      <x:c r="U73" s="24"/>
      <x:c r="V73" s="24"/>
      <x:c r="W73" s="23"/>
      <x:c r="X73" s="23"/>
      <x:c r="Y73" s="25" t="n">
        <x:v>7.979850557116636</x:v>
      </x:c>
      <x:c r="Z73" s="23" t="str">
        <x:v>benchmark/preprocessing_training/dim_600/derivative/ir/seed_41/xgboost/ir/original/metrics.json</x:v>
      </x:c>
    </x:row>
    <x:row r="74">
      <x:c r="A74" s="23" t="str">
        <x:v>derivative</x:v>
      </x:c>
      <x:c r="B74" s="23" t="str">
        <x:v>msms_neg</x:v>
      </x:c>
      <x:c r="C74" s="23" t="str">
        <x:v>cnn</x:v>
      </x:c>
      <x:c r="D74" s="23" t="n">
        <x:v>41</x:v>
      </x:c>
      <x:c r="E74" s="23" t="n">
        <x:v>600</x:v>
      </x:c>
      <x:c r="F74" s="23" t="n">
        <x:v>635496</x:v>
      </x:c>
      <x:c r="G74" s="23" t="n">
        <x:v>79450</x:v>
      </x:c>
      <x:c r="H74" s="23" t="n">
        <x:v>79457</x:v>
      </x:c>
      <x:c r="I74" s="24" t="n">
        <x:v>0.6494324965617302</x:v>
      </x:c>
      <x:c r="J74" s="24" t="n">
        <x:v>0.1229627309833338</x:v>
      </x:c>
      <x:c r="K74" s="24" t="n">
        <x:v>0.386197613772532</x:v>
      </x:c>
      <x:c r="L74" s="24" t="n">
        <x:v>0.20378448069095612</x:v>
      </x:c>
      <x:c r="M74" s="24" t="n">
        <x:v>0.6497809676122296</x:v>
      </x:c>
      <x:c r="N74" s="24" t="n">
        <x:v>0.12309016402852242</x:v>
      </x:c>
      <x:c r="O74" s="24" t="n">
        <x:v>0.386435565820376</x:v>
      </x:c>
      <x:c r="P74" s="24"/>
      <x:c r="Q74" s="24"/>
      <x:c r="R74" s="24"/>
      <x:c r="S74" s="24"/>
      <x:c r="T74" s="24"/>
      <x:c r="U74" s="24"/>
      <x:c r="V74" s="24"/>
      <x:c r="W74" s="23" t="n">
        <x:v>15</x:v>
      </x:c>
      <x:c r="X74" s="23" t="n">
        <x:v>39</x:v>
      </x:c>
      <x:c r="Y74" s="25" t="n">
        <x:v>28.627940705469033</x:v>
      </x:c>
      <x:c r="Z74" s="23" t="str">
        <x:v>benchmark/preprocessing_training/dim_600/derivative/msms_neg/seed_41/cnn/neg_msms/original/metrics.json</x:v>
      </x:c>
    </x:row>
    <x:row r="75">
      <x:c r="A75" s="23" t="str">
        <x:v>derivative</x:v>
      </x:c>
      <x:c r="B75" s="23" t="str">
        <x:v>msms_neg</x:v>
      </x:c>
      <x:c r="C75" s="23" t="str">
        <x:v>mps</x:v>
      </x:c>
      <x:c r="D75" s="23" t="n">
        <x:v>41</x:v>
      </x:c>
      <x:c r="E75" s="23" t="n">
        <x:v>600</x:v>
      </x:c>
      <x:c r="F75" s="23"/>
      <x:c r="G75" s="23"/>
      <x:c r="H75" s="23"/>
      <x:c r="I75" s="24" t="n">
        <x:v>0.2841</x:v>
      </x:c>
      <x:c r="J75" s="24" t="n">
        <x:v>0.1741</x:v>
      </x:c>
      <x:c r="K75" s="24" t="n">
        <x:v>0.22910000000000003</x:v>
      </x:c>
      <x:c r="L75" s="24" t="n">
        <x:v>1.3185</x:v>
      </x:c>
      <x:c r="M75" s="24" t="n">
        <x:v>0.2828278046060453</x:v>
      </x:c>
      <x:c r="N75" s="24" t="n">
        <x:v>0.1736230868424966</x:v>
      </x:c>
      <x:c r="O75" s="24" t="n">
        <x:v>0.22822544572427095</x:v>
      </x:c>
      <x:c r="P75" s="24" t="n">
        <x:v>1.5416</x:v>
      </x:c>
      <x:c r="Q75" s="24" t="n">
        <x:v>0</x:v>
      </x:c>
      <x:c r="R75" s="24" t="n">
        <x:v>0.5372</x:v>
      </x:c>
      <x:c r="S75" s="24" t="n">
        <x:v>0.1885</x:v>
      </x:c>
      <x:c r="T75" s="24" t="n">
        <x:v>0.1578</x:v>
      </x:c>
      <x:c r="U75" s="24" t="n">
        <x:v>0.5665</x:v>
      </x:c>
      <x:c r="V75" s="24" t="n">
        <x:v>0.5557</x:v>
      </x:c>
      <x:c r="W75" s="23" t="n">
        <x:v>28</x:v>
      </x:c>
      <x:c r="X75" s="23" t="n">
        <x:v>48</x:v>
      </x:c>
      <x:c r="Y75" s="25" t="n">
        <x:v>33.2</x:v>
      </x:c>
      <x:c r="Z75" s="23" t="str">
        <x:v>benchmark/preprocessing_training/dim_600/derivative/msms_neg/seed_41/mps/results/metrics.json</x:v>
      </x:c>
    </x:row>
    <x:row r="76">
      <x:c r="A76" s="23" t="str">
        <x:v>derivative</x:v>
      </x:c>
      <x:c r="B76" s="23" t="str">
        <x:v>msms_neg</x:v>
      </x:c>
      <x:c r="C76" s="23" t="str">
        <x:v>ttn</x:v>
      </x:c>
      <x:c r="D76" s="23" t="n">
        <x:v>41</x:v>
      </x:c>
      <x:c r="E76" s="23" t="n">
        <x:v>600</x:v>
      </x:c>
      <x:c r="F76" s="23"/>
      <x:c r="G76" s="23"/>
      <x:c r="H76" s="23"/>
      <x:c r="I76" s="24" t="n">
        <x:v>0.6391273089022896</x:v>
      </x:c>
      <x:c r="J76" s="24" t="n">
        <x:v>0.15841128036995517</x:v>
      </x:c>
      <x:c r="K76" s="24" t="n">
        <x:v>0.39876929463612243</x:v>
      </x:c>
      <x:c r="L76" s="24" t="n">
        <x:v>0.40575</x:v>
      </x:c>
      <x:c r="M76" s="24" t="n">
        <x:v>0.6386626183247008</x:v>
      </x:c>
      <x:c r="N76" s="24" t="n">
        <x:v>0.15592020315361668</x:v>
      </x:c>
      <x:c r="O76" s="24" t="n">
        <x:v>0.39729141073915875</x:v>
      </x:c>
      <x:c r="P76" s="24" t="n">
        <x:v>0.4072</x:v>
      </x:c>
      <x:c r="Q76" s="24"/>
      <x:c r="R76" s="24"/>
      <x:c r="S76" s="24" t="n">
        <x:v>0.697893</x:v>
      </x:c>
      <x:c r="T76" s="24"/>
      <x:c r="U76" s="24" t="n">
        <x:v>0.588699</x:v>
      </x:c>
      <x:c r="V76" s="24"/>
      <x:c r="W76" s="23" t="n">
        <x:v>46</x:v>
      </x:c>
      <x:c r="X76" s="23" t="n">
        <x:v>66</x:v>
      </x:c>
      <x:c r="Y76" s="25" t="n">
        <x:v>18.706166666666665</x:v>
      </x:c>
      <x:c r="Z76" s="23" t="str">
        <x:v>benchmark/preprocessing_training/dim_600/derivative/msms_neg/seed_41/ttn/metrics.json</x:v>
      </x:c>
    </x:row>
    <x:row r="77">
      <x:c r="A77" s="23" t="str">
        <x:v>derivative</x:v>
      </x:c>
      <x:c r="B77" s="23" t="str">
        <x:v>msms_neg</x:v>
      </x:c>
      <x:c r="C77" s="23" t="str">
        <x:v>xgboost</x:v>
      </x:c>
      <x:c r="D77" s="23" t="n">
        <x:v>41</x:v>
      </x:c>
      <x:c r="E77" s="23" t="n">
        <x:v>600</x:v>
      </x:c>
      <x:c r="F77" s="23" t="n">
        <x:v>635496</x:v>
      </x:c>
      <x:c r="G77" s="23" t="n">
        <x:v>79450</x:v>
      </x:c>
      <x:c r="H77" s="23" t="n">
        <x:v>79457</x:v>
      </x:c>
      <x:c r="I77" s="24" t="n">
        <x:v>0.6265555241956176</x:v>
      </x:c>
      <x:c r="J77" s="24" t="n">
        <x:v>0.11092566721075901</x:v>
      </x:c>
      <x:c r="K77" s="24" t="n">
        <x:v>0.3687405957031883</x:v>
      </x:c>
      <x:c r="L77" s="24"/>
      <x:c r="M77" s="24" t="n">
        <x:v>0.6266369135947047</x:v>
      </x:c>
      <x:c r="N77" s="24" t="n">
        <x:v>0.11094915417887385</x:v>
      </x:c>
      <x:c r="O77" s="24" t="n">
        <x:v>0.3687930338867893</x:v>
      </x:c>
      <x:c r="P77" s="24"/>
      <x:c r="Q77" s="24"/>
      <x:c r="R77" s="24"/>
      <x:c r="S77" s="24"/>
      <x:c r="T77" s="24"/>
      <x:c r="U77" s="24"/>
      <x:c r="V77" s="24"/>
      <x:c r="W77" s="23"/>
      <x:c r="X77" s="23"/>
      <x:c r="Y77" s="25" t="n">
        <x:v>2.467001882684417</x:v>
      </x:c>
      <x:c r="Z77" s="23" t="str">
        <x:v>benchmark/preprocessing_training/dim_600/derivative/msms_neg/seed_41/xgboost/neg_msms/original/metrics.json</x:v>
      </x:c>
    </x:row>
    <x:row r="78">
      <x:c r="A78" s="23" t="str">
        <x:v>derivative</x:v>
      </x:c>
      <x:c r="B78" s="23" t="str">
        <x:v>msms_pos</x:v>
      </x:c>
      <x:c r="C78" s="23" t="str">
        <x:v>cnn</x:v>
      </x:c>
      <x:c r="D78" s="23" t="n">
        <x:v>41</x:v>
      </x:c>
      <x:c r="E78" s="23" t="n">
        <x:v>600</x:v>
      </x:c>
      <x:c r="F78" s="23" t="n">
        <x:v>635496</x:v>
      </x:c>
      <x:c r="G78" s="23" t="n">
        <x:v>79450</x:v>
      </x:c>
      <x:c r="H78" s="23" t="n">
        <x:v>79457</x:v>
      </x:c>
      <x:c r="I78" s="24" t="n">
        <x:v>0.6455833286384095</x:v>
      </x:c>
      <x:c r="J78" s="24" t="n">
        <x:v>0.10944391376962645</x:v>
      </x:c>
      <x:c r="K78" s="24" t="n">
        <x:v>0.377513621204018</x:v>
      </x:c>
      <x:c r="L78" s="24" t="n">
        <x:v>0.19999630749225616</x:v>
      </x:c>
      <x:c r="M78" s="24" t="n">
        <x:v>0.6447801875044057</x:v>
      </x:c>
      <x:c r="N78" s="24" t="n">
        <x:v>0.10881109481209134</x:v>
      </x:c>
      <x:c r="O78" s="24" t="n">
        <x:v>0.3767956411582485</x:v>
      </x:c>
      <x:c r="P78" s="24"/>
      <x:c r="Q78" s="24"/>
      <x:c r="R78" s="24"/>
      <x:c r="S78" s="24"/>
      <x:c r="T78" s="24"/>
      <x:c r="U78" s="24"/>
      <x:c r="V78" s="24"/>
      <x:c r="W78" s="23" t="n">
        <x:v>17</x:v>
      </x:c>
      <x:c r="X78" s="23" t="n">
        <x:v>33</x:v>
      </x:c>
      <x:c r="Y78" s="25" t="n">
        <x:v>25.177709821316725</x:v>
      </x:c>
      <x:c r="Z78" s="23" t="str">
        <x:v>benchmark/preprocessing_training/dim_600/derivative/msms_pos/seed_41/cnn/pos_msms/original/metrics.json</x:v>
      </x:c>
    </x:row>
    <x:row r="79">
      <x:c r="A79" s="23" t="str">
        <x:v>derivative</x:v>
      </x:c>
      <x:c r="B79" s="23" t="str">
        <x:v>msms_pos</x:v>
      </x:c>
      <x:c r="C79" s="23" t="str">
        <x:v>mps</x:v>
      </x:c>
      <x:c r="D79" s="23" t="n">
        <x:v>41</x:v>
      </x:c>
      <x:c r="E79" s="23" t="n">
        <x:v>600</x:v>
      </x:c>
      <x:c r="F79" s="23"/>
      <x:c r="G79" s="23"/>
      <x:c r="H79" s="23"/>
      <x:c r="I79" s="24" t="n">
        <x:v>0.2977</x:v>
      </x:c>
      <x:c r="J79" s="24" t="n">
        <x:v>0.176</x:v>
      </x:c>
      <x:c r="K79" s="24" t="n">
        <x:v>0.23685</x:v>
      </x:c>
      <x:c r="L79" s="24" t="n">
        <x:v>2.3278</x:v>
      </x:c>
      <x:c r="M79" s="24" t="n">
        <x:v>0.2968099540114644</x:v>
      </x:c>
      <x:c r="N79" s="24" t="n">
        <x:v>0.17582347700879453</x:v>
      </x:c>
      <x:c r="O79" s="24" t="n">
        <x:v>0.23631671551012948</x:v>
      </x:c>
      <x:c r="P79" s="24" t="n">
        <x:v>1.7722</x:v>
      </x:c>
      <x:c r="Q79" s="24" t="n">
        <x:v>0.0001</x:v>
      </x:c>
      <x:c r="R79" s="24" t="n">
        <x:v>0.5414</x:v>
      </x:c>
      <x:c r="S79" s="24" t="n">
        <x:v>0.2002</x:v>
      </x:c>
      <x:c r="T79" s="24" t="n">
        <x:v>0.1596</x:v>
      </x:c>
      <x:c r="U79" s="24" t="n">
        <x:v>0.5739</x:v>
      </x:c>
      <x:c r="V79" s="24" t="n">
        <x:v>0.533</x:v>
      </x:c>
      <x:c r="W79" s="23" t="n">
        <x:v>101</x:v>
      </x:c>
      <x:c r="X79" s="23" t="n">
        <x:v>121</x:v>
      </x:c>
      <x:c r="Y79" s="25" t="n">
        <x:v>82.4</x:v>
      </x:c>
      <x:c r="Z79" s="23" t="str">
        <x:v>benchmark/preprocessing_training/dim_600/derivative/msms_pos/seed_41/mps/results/metrics.json</x:v>
      </x:c>
    </x:row>
    <x:row r="80">
      <x:c r="A80" s="23" t="str">
        <x:v>derivative</x:v>
      </x:c>
      <x:c r="B80" s="23" t="str">
        <x:v>msms_pos</x:v>
      </x:c>
      <x:c r="C80" s="23" t="str">
        <x:v>ttn</x:v>
      </x:c>
      <x:c r="D80" s="23" t="n">
        <x:v>41</x:v>
      </x:c>
      <x:c r="E80" s="23" t="n">
        <x:v>600</x:v>
      </x:c>
      <x:c r="F80" s="23"/>
      <x:c r="G80" s="23"/>
      <x:c r="H80" s="23"/>
      <x:c r="I80" s="24" t="n">
        <x:v>0.6470052379867912</x:v>
      </x:c>
      <x:c r="J80" s="24" t="n">
        <x:v>0.14993196132805683</x:v>
      </x:c>
      <x:c r="K80" s="24" t="n">
        <x:v>0.39846859965742404</x:v>
      </x:c>
      <x:c r="L80" s="24" t="n">
        <x:v>0.398426</x:v>
      </x:c>
      <x:c r="M80" s="24" t="n">
        <x:v>0.6469378033776656</x:v>
      </x:c>
      <x:c r="N80" s="24" t="n">
        <x:v>0.15138539418256283</x:v>
      </x:c>
      <x:c r="O80" s="24" t="n">
        <x:v>0.3991615987801142</x:v>
      </x:c>
      <x:c r="P80" s="24" t="n">
        <x:v>0.398683</x:v>
      </x:c>
      <x:c r="Q80" s="24"/>
      <x:c r="R80" s="24"/>
      <x:c r="S80" s="24" t="n">
        <x:v>0.726437</x:v>
      </x:c>
      <x:c r="T80" s="24"/>
      <x:c r="U80" s="24" t="n">
        <x:v>0.583123</x:v>
      </x:c>
      <x:c r="V80" s="24"/>
      <x:c r="W80" s="23" t="n">
        <x:v>4</x:v>
      </x:c>
      <x:c r="X80" s="23" t="n">
        <x:v>66</x:v>
      </x:c>
      <x:c r="Y80" s="25" t="n">
        <x:v>19.679333333333332</x:v>
      </x:c>
      <x:c r="Z80" s="23" t="str">
        <x:v>benchmark/preprocessing_training/dim_600/derivative/msms_pos/seed_41/ttn/metrics.json</x:v>
      </x:c>
    </x:row>
    <x:row r="81">
      <x:c r="A81" s="23" t="str">
        <x:v>derivative</x:v>
      </x:c>
      <x:c r="B81" s="23" t="str">
        <x:v>msms_pos</x:v>
      </x:c>
      <x:c r="C81" s="23" t="str">
        <x:v>xgboost</x:v>
      </x:c>
      <x:c r="D81" s="23" t="n">
        <x:v>41</x:v>
      </x:c>
      <x:c r="E81" s="23" t="n">
        <x:v>600</x:v>
      </x:c>
      <x:c r="F81" s="23" t="n">
        <x:v>635496</x:v>
      </x:c>
      <x:c r="G81" s="23" t="n">
        <x:v>79450</x:v>
      </x:c>
      <x:c r="H81" s="23" t="n">
        <x:v>79457</x:v>
      </x:c>
      <x:c r="I81" s="24" t="n">
        <x:v>0.6354950167173373</x:v>
      </x:c>
      <x:c r="J81" s="24" t="n">
        <x:v>0.10469081279555453</x:v>
      </x:c>
      <x:c r="K81" s="24" t="n">
        <x:v>0.3700929147564459</x:v>
      </x:c>
      <x:c r="L81" s="24"/>
      <x:c r="M81" s="24" t="n">
        <x:v>0.6344716943746684</x:v>
      </x:c>
      <x:c r="N81" s="24" t="n">
        <x:v>0.1054127618907684</x:v>
      </x:c>
      <x:c r="O81" s="24" t="n">
        <x:v>0.36994222813271843</x:v>
      </x:c>
      <x:c r="P81" s="24"/>
      <x:c r="Q81" s="24"/>
      <x:c r="R81" s="24"/>
      <x:c r="S81" s="24"/>
      <x:c r="T81" s="24"/>
      <x:c r="U81" s="24"/>
      <x:c r="V81" s="24"/>
      <x:c r="W81" s="23"/>
      <x:c r="X81" s="23"/>
      <x:c r="Y81" s="25" t="n">
        <x:v>2.6667860146185074</x:v>
      </x:c>
      <x:c r="Z81" s="23" t="str">
        <x:v>benchmark/preprocessing_training/dim_600/derivative/msms_pos/seed_41/xgboost/pos_msms/original/metrics.json</x:v>
      </x:c>
    </x:row>
    <x:row r="82">
      <x:c r="A82" s="23" t="str">
        <x:v>fir</x:v>
      </x:c>
      <x:c r="B82" s="23" t="str">
        <x:v>cnmr</x:v>
      </x:c>
      <x:c r="C82" s="23" t="str">
        <x:v>cnn</x:v>
      </x:c>
      <x:c r="D82" s="23" t="n">
        <x:v>41</x:v>
      </x:c>
      <x:c r="E82" s="23" t="n">
        <x:v>600</x:v>
      </x:c>
      <x:c r="F82" s="23" t="n">
        <x:v>635496</x:v>
      </x:c>
      <x:c r="G82" s="23" t="n">
        <x:v>79450</x:v>
      </x:c>
      <x:c r="H82" s="23" t="n">
        <x:v>79457</x:v>
      </x:c>
      <x:c r="I82" s="24" t="n">
        <x:v>0.5292397921280155</x:v>
      </x:c>
      <x:c r="J82" s="24" t="n">
        <x:v>0.06385470994315026</x:v>
      </x:c>
      <x:c r="K82" s="24" t="n">
        <x:v>0.2965472510355829</x:v>
      </x:c>
      <x:c r="L82" s="24" t="n">
        <x:v>0.9752161502838135</x:v>
      </x:c>
      <x:c r="M82" s="24" t="n">
        <x:v>0.5298961651665135</x:v>
      </x:c>
      <x:c r="N82" s="24" t="n">
        <x:v>0.06393900874094087</x:v>
      </x:c>
      <x:c r="O82" s="24" t="n">
        <x:v>0.29691758695372716</x:v>
      </x:c>
      <x:c r="P82" s="24"/>
      <x:c r="Q82" s="24"/>
      <x:c r="R82" s="24"/>
      <x:c r="S82" s="24"/>
      <x:c r="T82" s="24"/>
      <x:c r="U82" s="24"/>
      <x:c r="V82" s="24"/>
      <x:c r="W82" s="23" t="n">
        <x:v>28</x:v>
      </x:c>
      <x:c r="X82" s="23" t="n">
        <x:v>50</x:v>
      </x:c>
      <x:c r="Y82" s="25" t="n">
        <x:v>34.15835992361729</x:v>
      </x:c>
      <x:c r="Z82" s="23" t="str">
        <x:v>benchmark/preprocessing_training/dim_600/fir/cnmr/seed_41/cnn/cnmr/original/metrics.json</x:v>
      </x:c>
    </x:row>
    <x:row r="83">
      <x:c r="A83" s="23" t="str">
        <x:v>fir</x:v>
      </x:c>
      <x:c r="B83" s="23" t="str">
        <x:v>cnmr</x:v>
      </x:c>
      <x:c r="C83" s="23" t="str">
        <x:v>mps</x:v>
      </x:c>
      <x:c r="D83" s="23" t="n">
        <x:v>41</x:v>
      </x:c>
      <x:c r="E83" s="23" t="n">
        <x:v>600</x:v>
      </x:c>
      <x:c r="F83" s="23"/>
      <x:c r="G83" s="23"/>
      <x:c r="H83" s="23"/>
      <x:c r="I83" s="24" t="n">
        <x:v>0.7045</x:v>
      </x:c>
      <x:c r="J83" s="24" t="n">
        <x:v>0.4115</x:v>
      </x:c>
      <x:c r="K83" s="24" t="n">
        <x:v>0.558</x:v>
      </x:c>
      <x:c r="L83" s="24" t="n">
        <x:v>7.5635</x:v>
      </x:c>
      <x:c r="M83" s="24" t="n">
        <x:v>0.705285192760168</x:v>
      </x:c>
      <x:c r="N83" s="24" t="n">
        <x:v>0.4060646733850363</x:v>
      </x:c>
      <x:c r="O83" s="24" t="n">
        <x:v>0.5556749330726022</x:v>
      </x:c>
      <x:c r="P83" s="24" t="n">
        <x:v>7.8232</x:v>
      </x:c>
      <x:c r="Q83" s="24" t="n">
        <x:v>0.0702</x:v>
      </x:c>
      <x:c r="R83" s="24" t="n">
        <x:v>0.7368</x:v>
      </x:c>
      <x:c r="S83" s="24" t="n">
        <x:v>0.6485</x:v>
      </x:c>
      <x:c r="T83" s="24" t="n">
        <x:v>0.3698</x:v>
      </x:c>
      <x:c r="U83" s="24" t="n">
        <x:v>0.773</x:v>
      </x:c>
      <x:c r="V83" s="24" t="n">
        <x:v>0.4692</x:v>
      </x:c>
      <x:c r="W83" s="23" t="n">
        <x:v>157</x:v>
      </x:c>
      <x:c r="X83" s="23" t="n">
        <x:v>163</x:v>
      </x:c>
      <x:c r="Y83" s="25" t="n">
        <x:v>233.5</x:v>
      </x:c>
      <x:c r="Z83" s="23" t="str">
        <x:v>benchmark/preprocessing_training/dim_600/fir/cnmr/seed_41/mps/results/metrics.json</x:v>
      </x:c>
    </x:row>
    <x:row r="84">
      <x:c r="A84" s="23" t="str">
        <x:v>fir</x:v>
      </x:c>
      <x:c r="B84" s="23" t="str">
        <x:v>cnmr</x:v>
      </x:c>
      <x:c r="C84" s="23" t="str">
        <x:v>ttn</x:v>
      </x:c>
      <x:c r="D84" s="23" t="n">
        <x:v>41</x:v>
      </x:c>
      <x:c r="E84" s="23" t="n">
        <x:v>600</x:v>
      </x:c>
      <x:c r="F84" s="23"/>
      <x:c r="G84" s="23"/>
      <x:c r="H84" s="23"/>
      <x:c r="I84" s="24" t="n">
        <x:v>0.7491122004851618</x:v>
      </x:c>
      <x:c r="J84" s="24" t="n">
        <x:v>0.3959242287857496</x:v>
      </x:c>
      <x:c r="K84" s="24" t="n">
        <x:v>0.5725182146354557</x:v>
      </x:c>
      <x:c r="L84" s="24" t="n">
        <x:v>0.313076</x:v>
      </x:c>
      <x:c r="M84" s="24" t="n">
        <x:v>0.7490245724721899</x:v>
      </x:c>
      <x:c r="N84" s="24" t="n">
        <x:v>0.39266282328685</x:v>
      </x:c>
      <x:c r="O84" s="24" t="n">
        <x:v>0.5708436978795199</x:v>
      </x:c>
      <x:c r="P84" s="24" t="n">
        <x:v>0.310265</x:v>
      </x:c>
      <x:c r="Q84" s="24"/>
      <x:c r="R84" s="24"/>
      <x:c r="S84" s="24" t="n">
        <x:v>0.737855</x:v>
      </x:c>
      <x:c r="T84" s="24"/>
      <x:c r="U84" s="24" t="n">
        <x:v>0.760537</x:v>
      </x:c>
      <x:c r="V84" s="24"/>
      <x:c r="W84" s="23" t="n">
        <x:v>44</x:v>
      </x:c>
      <x:c r="X84" s="23" t="n">
        <x:v>64</x:v>
      </x:c>
      <x:c r="Y84" s="25" t="n">
        <x:v>18.913</x:v>
      </x:c>
      <x:c r="Z84" s="23" t="str">
        <x:v>benchmark/preprocessing_training/dim_600/fir/cnmr/seed_41/ttn/metrics.json</x:v>
      </x:c>
    </x:row>
    <x:row r="85">
      <x:c r="A85" s="23" t="str">
        <x:v>fir</x:v>
      </x:c>
      <x:c r="B85" s="23" t="str">
        <x:v>cnmr</x:v>
      </x:c>
      <x:c r="C85" s="23" t="str">
        <x:v>xgboost</x:v>
      </x:c>
      <x:c r="D85" s="23" t="n">
        <x:v>41</x:v>
      </x:c>
      <x:c r="E85" s="23" t="n">
        <x:v>600</x:v>
      </x:c>
      <x:c r="F85" s="23" t="n">
        <x:v>635496</x:v>
      </x:c>
      <x:c r="G85" s="23" t="n">
        <x:v>79450</x:v>
      </x:c>
      <x:c r="H85" s="23" t="n">
        <x:v>79457</x:v>
      </x:c>
      <x:c r="I85" s="24" t="n">
        <x:v>0.7780595316050153</x:v>
      </x:c>
      <x:c r="J85" s="24" t="n">
        <x:v>0.386031184318879</x:v>
      </x:c>
      <x:c r="K85" s="24" t="n">
        <x:v>0.5820453579619471</x:v>
      </x:c>
      <x:c r="L85" s="24"/>
      <x:c r="M85" s="24" t="n">
        <x:v>0.7777457032789744</x:v>
      </x:c>
      <x:c r="N85" s="24" t="n">
        <x:v>0.38489939323893785</x:v>
      </x:c>
      <x:c r="O85" s="24" t="n">
        <x:v>0.5813225482589561</x:v>
      </x:c>
      <x:c r="P85" s="24"/>
      <x:c r="Q85" s="24"/>
      <x:c r="R85" s="24"/>
      <x:c r="S85" s="24"/>
      <x:c r="T85" s="24"/>
      <x:c r="U85" s="24"/>
      <x:c r="V85" s="24"/>
      <x:c r="W85" s="23"/>
      <x:c r="X85" s="23"/>
      <x:c r="Y85" s="25" t="n">
        <x:v>6.086969049146864</x:v>
      </x:c>
      <x:c r="Z85" s="23" t="str">
        <x:v>benchmark/preprocessing_training/dim_600/fir/cnmr/seed_41/xgboost/cnmr/original/metrics.json</x:v>
      </x:c>
    </x:row>
    <x:row r="86">
      <x:c r="A86" s="23" t="str">
        <x:v>fir</x:v>
      </x:c>
      <x:c r="B86" s="23" t="str">
        <x:v>hnmr</x:v>
      </x:c>
      <x:c r="C86" s="23" t="str">
        <x:v>cnn</x:v>
      </x:c>
      <x:c r="D86" s="23" t="n">
        <x:v>41</x:v>
      </x:c>
      <x:c r="E86" s="23" t="n">
        <x:v>600</x:v>
      </x:c>
      <x:c r="F86" s="23" t="n">
        <x:v>635496</x:v>
      </x:c>
      <x:c r="G86" s="23" t="n">
        <x:v>79450</x:v>
      </x:c>
      <x:c r="H86" s="23" t="n">
        <x:v>79457</x:v>
      </x:c>
      <x:c r="I86" s="24" t="n">
        <x:v>0.584505423310832</x:v>
      </x:c>
      <x:c r="J86" s="24" t="n">
        <x:v>0.11762251790751262</x:v>
      </x:c>
      <x:c r="K86" s="24" t="n">
        <x:v>0.3510639706091723</x:v>
      </x:c>
      <x:c r="L86" s="24" t="n">
        <x:v>0.39657914638519287</x:v>
      </x:c>
      <x:c r="M86" s="24" t="n">
        <x:v>0.5847850273971887</x:v>
      </x:c>
      <x:c r="N86" s="24" t="n">
        <x:v>0.11762792817561551</x:v>
      </x:c>
      <x:c r="O86" s="24" t="n">
        <x:v>0.3512064777864021</x:v>
      </x:c>
      <x:c r="P86" s="24"/>
      <x:c r="Q86" s="24"/>
      <x:c r="R86" s="24"/>
      <x:c r="S86" s="24"/>
      <x:c r="T86" s="24"/>
      <x:c r="U86" s="24"/>
      <x:c r="V86" s="24"/>
      <x:c r="W86" s="23" t="n">
        <x:v>12</x:v>
      </x:c>
      <x:c r="X86" s="23" t="n">
        <x:v>21</x:v>
      </x:c>
      <x:c r="Y86" s="25" t="n">
        <x:v>15.768429843033664</x:v>
      </x:c>
      <x:c r="Z86" s="23" t="str">
        <x:v>benchmark/preprocessing_training/dim_600/fir/hnmr/seed_41/cnn/hnmr/original/metrics.json</x:v>
      </x:c>
    </x:row>
    <x:row r="87">
      <x:c r="A87" s="23" t="str">
        <x:v>fir</x:v>
      </x:c>
      <x:c r="B87" s="23" t="str">
        <x:v>hnmr</x:v>
      </x:c>
      <x:c r="C87" s="23" t="str">
        <x:v>mps</x:v>
      </x:c>
      <x:c r="D87" s="23" t="n">
        <x:v>41</x:v>
      </x:c>
      <x:c r="E87" s="23" t="n">
        <x:v>600</x:v>
      </x:c>
      <x:c r="F87" s="23"/>
      <x:c r="G87" s="23"/>
      <x:c r="H87" s="23"/>
      <x:c r="I87" s="24" t="n">
        <x:v>0.7417</x:v>
      </x:c>
      <x:c r="J87" s="24" t="n">
        <x:v>0.4331</x:v>
      </x:c>
      <x:c r="K87" s="24" t="n">
        <x:v>0.5874</x:v>
      </x:c>
      <x:c r="L87" s="24" t="n">
        <x:v>8.4032</x:v>
      </x:c>
      <x:c r="M87" s="24" t="n">
        <x:v>0.7411281255753644</x:v>
      </x:c>
      <x:c r="N87" s="24" t="n">
        <x:v>0.4291624520944852</x:v>
      </x:c>
      <x:c r="O87" s="24" t="n">
        <x:v>0.5851452888349249</x:v>
      </x:c>
      <x:c r="P87" s="24" t="n">
        <x:v>8.8554</x:v>
      </x:c>
      <x:c r="Q87" s="24" t="n">
        <x:v>0.1188</x:v>
      </x:c>
      <x:c r="R87" s="24" t="n">
        <x:v>0.7478</x:v>
      </x:c>
      <x:c r="S87" s="24" t="n">
        <x:v>0.7348</x:v>
      </x:c>
      <x:c r="T87" s="24" t="n">
        <x:v>0.4618</x:v>
      </x:c>
      <x:c r="U87" s="24" t="n">
        <x:v>0.7475</x:v>
      </x:c>
      <x:c r="V87" s="24" t="n">
        <x:v>0.4132</x:v>
      </x:c>
      <x:c r="W87" s="23" t="n">
        <x:v>169</x:v>
      </x:c>
      <x:c r="X87" s="23" t="n">
        <x:v>170</x:v>
      </x:c>
      <x:c r="Y87" s="25" t="n">
        <x:v>112.2</x:v>
      </x:c>
      <x:c r="Z87" s="23" t="str">
        <x:v>benchmark/preprocessing_training/dim_600/fir/hnmr/seed_41/mps/results/metrics.json</x:v>
      </x:c>
    </x:row>
    <x:row r="88">
      <x:c r="A88" s="23" t="str">
        <x:v>fir</x:v>
      </x:c>
      <x:c r="B88" s="23" t="str">
        <x:v>hnmr</x:v>
      </x:c>
      <x:c r="C88" s="23" t="str">
        <x:v>ttn</x:v>
      </x:c>
      <x:c r="D88" s="23" t="n">
        <x:v>41</x:v>
      </x:c>
      <x:c r="E88" s="23" t="n">
        <x:v>600</x:v>
      </x:c>
      <x:c r="F88" s="23"/>
      <x:c r="G88" s="23"/>
      <x:c r="H88" s="23"/>
      <x:c r="I88" s="24" t="n">
        <x:v>0.7127639995392296</x:v>
      </x:c>
      <x:c r="J88" s="24" t="n">
        <x:v>0.33781043205600947</x:v>
      </x:c>
      <x:c r="K88" s="24" t="n">
        <x:v>0.5252872157976196</x:v>
      </x:c>
      <x:c r="L88" s="24" t="n">
        <x:v>0.331795</x:v>
      </x:c>
      <x:c r="M88" s="24" t="n">
        <x:v>0.7137590005498036</x:v>
      </x:c>
      <x:c r="N88" s="24" t="n">
        <x:v>0.32875912739065727</x:v>
      </x:c>
      <x:c r="O88" s="24" t="n">
        <x:v>0.5212590639702304</x:v>
      </x:c>
      <x:c r="P88" s="24" t="n">
        <x:v>0.332716</x:v>
      </x:c>
      <x:c r="Q88" s="24"/>
      <x:c r="R88" s="24"/>
      <x:c r="S88" s="24" t="n">
        <x:v>0.718001</x:v>
      </x:c>
      <x:c r="T88" s="24"/>
      <x:c r="U88" s="24" t="n">
        <x:v>0.709567</x:v>
      </x:c>
      <x:c r="V88" s="24"/>
      <x:c r="W88" s="23" t="n">
        <x:v>40</x:v>
      </x:c>
      <x:c r="X88" s="23" t="n">
        <x:v>60</x:v>
      </x:c>
      <x:c r="Y88" s="25" t="n">
        <x:v>17.19516666666667</x:v>
      </x:c>
      <x:c r="Z88" s="23" t="str">
        <x:v>benchmark/preprocessing_training/dim_600/fir/hnmr/seed_41/ttn/metrics.json</x:v>
      </x:c>
    </x:row>
    <x:row r="89">
      <x:c r="A89" s="23" t="str">
        <x:v>fir</x:v>
      </x:c>
      <x:c r="B89" s="23" t="str">
        <x:v>hnmr</x:v>
      </x:c>
      <x:c r="C89" s="23" t="str">
        <x:v>xgboost</x:v>
      </x:c>
      <x:c r="D89" s="23" t="n">
        <x:v>41</x:v>
      </x:c>
      <x:c r="E89" s="23" t="n">
        <x:v>600</x:v>
      </x:c>
      <x:c r="F89" s="23" t="n">
        <x:v>635496</x:v>
      </x:c>
      <x:c r="G89" s="23" t="n">
        <x:v>79450</x:v>
      </x:c>
      <x:c r="H89" s="23" t="n">
        <x:v>79457</x:v>
      </x:c>
      <x:c r="I89" s="24" t="n">
        <x:v>0.7634161989734733</x:v>
      </x:c>
      <x:c r="J89" s="24" t="n">
        <x:v>0.37011505851701887</x:v>
      </x:c>
      <x:c r="K89" s="24" t="n">
        <x:v>0.566765628745246</x:v>
      </x:c>
      <x:c r="L89" s="24"/>
      <x:c r="M89" s="24" t="n">
        <x:v>0.763872976264029</x:v>
      </x:c>
      <x:c r="N89" s="24" t="n">
        <x:v>0.367203787852297</x:v>
      </x:c>
      <x:c r="O89" s="24" t="n">
        <x:v>0.565538382058163</x:v>
      </x:c>
      <x:c r="P89" s="24"/>
      <x:c r="Q89" s="24"/>
      <x:c r="R89" s="24"/>
      <x:c r="S89" s="24"/>
      <x:c r="T89" s="24"/>
      <x:c r="U89" s="24"/>
      <x:c r="V89" s="24"/>
      <x:c r="W89" s="23"/>
      <x:c r="X89" s="23"/>
      <x:c r="Y89" s="25" t="n">
        <x:v>4.964541992133793</x:v>
      </x:c>
      <x:c r="Z89" s="23" t="str">
        <x:v>benchmark/preprocessing_training/dim_600/fir/hnmr/seed_41/xgboost/hnmr/original/metrics.json</x:v>
      </x:c>
    </x:row>
    <x:row r="90">
      <x:c r="A90" s="23" t="str">
        <x:v>fir</x:v>
      </x:c>
      <x:c r="B90" s="23" t="str">
        <x:v>ir</x:v>
      </x:c>
      <x:c r="C90" s="23" t="str">
        <x:v>cnn</x:v>
      </x:c>
      <x:c r="D90" s="23" t="n">
        <x:v>41</x:v>
      </x:c>
      <x:c r="E90" s="23" t="n">
        <x:v>600</x:v>
      </x:c>
      <x:c r="F90" s="23" t="n">
        <x:v>635496</x:v>
      </x:c>
      <x:c r="G90" s="23" t="n">
        <x:v>79450</x:v>
      </x:c>
      <x:c r="H90" s="23" t="n">
        <x:v>79457</x:v>
      </x:c>
      <x:c r="I90" s="24" t="n">
        <x:v>0.8930356215038091</x:v>
      </x:c>
      <x:c r="J90" s="24" t="n">
        <x:v>0.6731372864399199</x:v>
      </x:c>
      <x:c r="K90" s="24" t="n">
        <x:v>0.7830864539718645</x:v>
      </x:c>
      <x:c r="L90" s="24" t="n">
        <x:v>0.0706455409526825</x:v>
      </x:c>
      <x:c r="M90" s="24" t="n">
        <x:v>0.8931738850606972</x:v>
      </x:c>
      <x:c r="N90" s="24" t="n">
        <x:v>0.6816583687262763</x:v>
      </x:c>
      <x:c r="O90" s="24" t="n">
        <x:v>0.7874161268934867</x:v>
      </x:c>
      <x:c r="P90" s="24"/>
      <x:c r="Q90" s="24"/>
      <x:c r="R90" s="24"/>
      <x:c r="S90" s="24"/>
      <x:c r="T90" s="24"/>
      <x:c r="U90" s="24"/>
      <x:c r="V90" s="24"/>
      <x:c r="W90" s="23" t="n">
        <x:v>37</x:v>
      </x:c>
      <x:c r="X90" s="23" t="n">
        <x:v>46</x:v>
      </x:c>
      <x:c r="Y90" s="25" t="n">
        <x:v>31.041228118985114</x:v>
      </x:c>
      <x:c r="Z90" s="23" t="str">
        <x:v>benchmark/preprocessing_training/dim_600/fir/ir/seed_41/cnn/ir/original/metrics.json</x:v>
      </x:c>
    </x:row>
    <x:row r="91">
      <x:c r="A91" s="23" t="str">
        <x:v>fir</x:v>
      </x:c>
      <x:c r="B91" s="23" t="str">
        <x:v>ir</x:v>
      </x:c>
      <x:c r="C91" s="23" t="str">
        <x:v>mps</x:v>
      </x:c>
      <x:c r="D91" s="23" t="n">
        <x:v>41</x:v>
      </x:c>
      <x:c r="E91" s="23" t="n">
        <x:v>600</x:v>
      </x:c>
      <x:c r="F91" s="23"/>
      <x:c r="G91" s="23"/>
      <x:c r="H91" s="23"/>
      <x:c r="I91" s="24" t="n">
        <x:v>0.8542</x:v>
      </x:c>
      <x:c r="J91" s="24" t="n">
        <x:v>0.695</x:v>
      </x:c>
      <x:c r="K91" s="24" t="n">
        <x:v>0.7746</x:v>
      </x:c>
      <x:c r="L91" s="24" t="n">
        <x:v>3.9163</x:v>
      </x:c>
      <x:c r="M91" s="24" t="n">
        <x:v>0.8546902541987643</x:v>
      </x:c>
      <x:c r="N91" s="24" t="n">
        <x:v>0.7300545493055782</x:v>
      </x:c>
      <x:c r="O91" s="24" t="n">
        <x:v>0.7923724017521713</x:v>
      </x:c>
      <x:c r="P91" s="24" t="n">
        <x:v>3.7153</x:v>
      </x:c>
      <x:c r="Q91" s="24" t="n">
        <x:v>0.2864</x:v>
      </x:c>
      <x:c r="R91" s="24" t="n">
        <x:v>0.853</x:v>
      </x:c>
      <x:c r="S91" s="24" t="n">
        <x:v>0.8814</x:v>
      </x:c>
      <x:c r="T91" s="24" t="n">
        <x:v>0.811</x:v>
      </x:c>
      <x:c r="U91" s="24" t="n">
        <x:v>0.8296</x:v>
      </x:c>
      <x:c r="V91" s="24" t="n">
        <x:v>0.6868</x:v>
      </x:c>
      <x:c r="W91" s="23" t="n">
        <x:v>137</x:v>
      </x:c>
      <x:c r="X91" s="23" t="n">
        <x:v>147</x:v>
      </x:c>
      <x:c r="Y91" s="25" t="n">
        <x:v>95.1</x:v>
      </x:c>
      <x:c r="Z91" s="23" t="str">
        <x:v>benchmark/preprocessing_training/dim_600/fir/ir/seed_41/mps/results/metrics.json</x:v>
      </x:c>
    </x:row>
    <x:row r="92">
      <x:c r="A92" s="23" t="str">
        <x:v>fir</x:v>
      </x:c>
      <x:c r="B92" s="23" t="str">
        <x:v>ir</x:v>
      </x:c>
      <x:c r="C92" s="23" t="str">
        <x:v>ttn</x:v>
      </x:c>
      <x:c r="D92" s="23" t="n">
        <x:v>41</x:v>
      </x:c>
      <x:c r="E92" s="23" t="n">
        <x:v>600</x:v>
      </x:c>
      <x:c r="F92" s="23"/>
      <x:c r="G92" s="23"/>
      <x:c r="H92" s="23"/>
      <x:c r="I92" s="24" t="n">
        <x:v>0.8426324704872066</x:v>
      </x:c>
      <x:c r="J92" s="24" t="n">
        <x:v>0.6238465769914664</x:v>
      </x:c>
      <x:c r="K92" s="24" t="n">
        <x:v>0.7332395237393365</x:v>
      </x:c>
      <x:c r="L92" s="24" t="n">
        <x:v>0.190121</x:v>
      </x:c>
      <x:c r="M92" s="24" t="n">
        <x:v>0.8435207727899566</x:v>
      </x:c>
      <x:c r="N92" s="24" t="n">
        <x:v>0.6539850892606239</x:v>
      </x:c>
      <x:c r="O92" s="24" t="n">
        <x:v>0.7487529310252903</x:v>
      </x:c>
      <x:c r="P92" s="24" t="n">
        <x:v>0.188319</x:v>
      </x:c>
      <x:c r="Q92" s="24"/>
      <x:c r="R92" s="24"/>
      <x:c r="S92" s="24" t="n">
        <x:v>0.8388</x:v>
      </x:c>
      <x:c r="T92" s="24"/>
      <x:c r="U92" s="24" t="n">
        <x:v>0.848295</x:v>
      </x:c>
      <x:c r="V92" s="24"/>
      <x:c r="W92" s="23" t="n">
        <x:v>40</x:v>
      </x:c>
      <x:c r="X92" s="23" t="n">
        <x:v>60</x:v>
      </x:c>
      <x:c r="Y92" s="25" t="n">
        <x:v>16.983333333333334</x:v>
      </x:c>
      <x:c r="Z92" s="23" t="str">
        <x:v>benchmark/preprocessing_training/dim_600/fir/ir/seed_41/ttn/metrics.json</x:v>
      </x:c>
    </x:row>
    <x:row r="93">
      <x:c r="A93" s="23" t="str">
        <x:v>fir</x:v>
      </x:c>
      <x:c r="B93" s="23" t="str">
        <x:v>ir</x:v>
      </x:c>
      <x:c r="C93" s="23" t="str">
        <x:v>xgboost</x:v>
      </x:c>
      <x:c r="D93" s="23" t="n">
        <x:v>41</x:v>
      </x:c>
      <x:c r="E93" s="23" t="n">
        <x:v>600</x:v>
      </x:c>
      <x:c r="F93" s="23" t="n">
        <x:v>635496</x:v>
      </x:c>
      <x:c r="G93" s="23" t="n">
        <x:v>79450</x:v>
      </x:c>
      <x:c r="H93" s="23" t="n">
        <x:v>79457</x:v>
      </x:c>
      <x:c r="I93" s="24" t="n">
        <x:v>0.841868470022747</x:v>
      </x:c>
      <x:c r="J93" s="24" t="n">
        <x:v>0.5645013357015647</x:v>
      </x:c>
      <x:c r="K93" s="24" t="n">
        <x:v>0.7031849028621558</x:v>
      </x:c>
      <x:c r="L93" s="24"/>
      <x:c r="M93" s="24" t="n">
        <x:v>0.8427786911832142</x:v>
      </x:c>
      <x:c r="N93" s="24" t="n">
        <x:v>0.5577159697190873</x:v>
      </x:c>
      <x:c r="O93" s="24" t="n">
        <x:v>0.7002473304511507</x:v>
      </x:c>
      <x:c r="P93" s="24"/>
      <x:c r="Q93" s="24"/>
      <x:c r="R93" s="24"/>
      <x:c r="S93" s="24"/>
      <x:c r="T93" s="24"/>
      <x:c r="U93" s="24"/>
      <x:c r="V93" s="24"/>
      <x:c r="W93" s="23"/>
      <x:c r="X93" s="23"/>
      <x:c r="Y93" s="25" t="n">
        <x:v>5.545026785701824</x:v>
      </x:c>
      <x:c r="Z93" s="23" t="str">
        <x:v>benchmark/preprocessing_training/dim_600/fir/ir/seed_41/xgboost/ir/original/metrics.json</x:v>
      </x:c>
    </x:row>
    <x:row r="94">
      <x:c r="A94" s="23" t="str">
        <x:v>fir</x:v>
      </x:c>
      <x:c r="B94" s="23" t="str">
        <x:v>msms_neg</x:v>
      </x:c>
      <x:c r="C94" s="23" t="str">
        <x:v>cnn</x:v>
      </x:c>
      <x:c r="D94" s="23" t="n">
        <x:v>41</x:v>
      </x:c>
      <x:c r="E94" s="23" t="n">
        <x:v>600</x:v>
      </x:c>
      <x:c r="F94" s="23" t="n">
        <x:v>635496</x:v>
      </x:c>
      <x:c r="G94" s="23" t="n">
        <x:v>79450</x:v>
      </x:c>
      <x:c r="H94" s="23" t="n">
        <x:v>79457</x:v>
      </x:c>
      <x:c r="I94" s="24" t="n">
        <x:v>0.7668833823471232</x:v>
      </x:c>
      <x:c r="J94" s="24" t="n">
        <x:v>0.34392778493312576</x:v>
      </x:c>
      <x:c r="K94" s="24" t="n">
        <x:v>0.5554055836401245</x:v>
      </x:c>
      <x:c r="L94" s="24" t="n">
        <x:v>0.143418088555336</x:v>
      </x:c>
      <x:c r="M94" s="24" t="n">
        <x:v>0.7649580292666336</x:v>
      </x:c>
      <x:c r="N94" s="24" t="n">
        <x:v>0.3373036005279376</x:v>
      </x:c>
      <x:c r="O94" s="24" t="n">
        <x:v>0.5511308148972855</x:v>
      </x:c>
      <x:c r="P94" s="24"/>
      <x:c r="Q94" s="24"/>
      <x:c r="R94" s="24"/>
      <x:c r="S94" s="24"/>
      <x:c r="T94" s="24"/>
      <x:c r="U94" s="24"/>
      <x:c r="V94" s="24"/>
      <x:c r="W94" s="23" t="n">
        <x:v>29</x:v>
      </x:c>
      <x:c r="X94" s="23" t="n">
        <x:v>40</x:v>
      </x:c>
      <x:c r="Y94" s="25" t="n">
        <x:v>27.38364271223157</x:v>
      </x:c>
      <x:c r="Z94" s="23" t="str">
        <x:v>benchmark/preprocessing_training/dim_600/fir/msms_neg/seed_41/cnn/neg_msms/original/metrics.json</x:v>
      </x:c>
    </x:row>
    <x:row r="95">
      <x:c r="A95" s="23" t="str">
        <x:v>fir</x:v>
      </x:c>
      <x:c r="B95" s="23" t="str">
        <x:v>msms_neg</x:v>
      </x:c>
      <x:c r="C95" s="23" t="str">
        <x:v>mps</x:v>
      </x:c>
      <x:c r="D95" s="23" t="n">
        <x:v>41</x:v>
      </x:c>
      <x:c r="E95" s="23" t="n">
        <x:v>600</x:v>
      </x:c>
      <x:c r="F95" s="23"/>
      <x:c r="G95" s="23"/>
      <x:c r="H95" s="23"/>
      <x:c r="I95" s="24" t="n">
        <x:v>0.5849</x:v>
      </x:c>
      <x:c r="J95" s="24" t="n">
        <x:v>0.3048</x:v>
      </x:c>
      <x:c r="K95" s="24" t="n">
        <x:v>0.44484999999999997</x:v>
      </x:c>
      <x:c r="L95" s="24" t="n">
        <x:v>5.5461</x:v>
      </x:c>
      <x:c r="M95" s="24" t="n">
        <x:v>0.5842001141157432</x:v>
      </x:c>
      <x:c r="N95" s="24" t="n">
        <x:v>0.3013171110826763</x:v>
      </x:c>
      <x:c r="O95" s="24" t="n">
        <x:v>0.4427586125992098</x:v>
      </x:c>
      <x:c r="P95" s="24" t="n">
        <x:v>6.1474</x:v>
      </x:c>
      <x:c r="Q95" s="24" t="n">
        <x:v>0.0209</x:v>
      </x:c>
      <x:c r="R95" s="24" t="n">
        <x:v>0.6496</x:v>
      </x:c>
      <x:c r="S95" s="24" t="n">
        <x:v>0.5252</x:v>
      </x:c>
      <x:c r="T95" s="24" t="n">
        <x:v>0.2594</x:v>
      </x:c>
      <x:c r="U95" s="24" t="n">
        <x:v>0.6581</x:v>
      </x:c>
      <x:c r="V95" s="24" t="n">
        <x:v>0.4686</x:v>
      </x:c>
      <x:c r="W95" s="23" t="n">
        <x:v>129</x:v>
      </x:c>
      <x:c r="X95" s="23" t="n">
        <x:v>149</x:v>
      </x:c>
      <x:c r="Y95" s="25" t="n">
        <x:v>98.1</x:v>
      </x:c>
      <x:c r="Z95" s="23" t="str">
        <x:v>benchmark/preprocessing_training/dim_600/fir/msms_neg/seed_41/mps/results/metrics.json</x:v>
      </x:c>
    </x:row>
    <x:row r="96">
      <x:c r="A96" s="23" t="str">
        <x:v>fir</x:v>
      </x:c>
      <x:c r="B96" s="23" t="str">
        <x:v>msms_neg</x:v>
      </x:c>
      <x:c r="C96" s="23" t="str">
        <x:v>ttn</x:v>
      </x:c>
      <x:c r="D96" s="23" t="n">
        <x:v>41</x:v>
      </x:c>
      <x:c r="E96" s="23" t="n">
        <x:v>600</x:v>
      </x:c>
      <x:c r="F96" s="23"/>
      <x:c r="G96" s="23"/>
      <x:c r="H96" s="23"/>
      <x:c r="I96" s="24" t="n">
        <x:v>0.6962299588970248</x:v>
      </x:c>
      <x:c r="J96" s="24" t="n">
        <x:v>0.3213496116212496</x:v>
      </x:c>
      <x:c r="K96" s="24" t="n">
        <x:v>0.5087897852591372</x:v>
      </x:c>
      <x:c r="L96" s="24" t="n">
        <x:v>0.336999</x:v>
      </x:c>
      <x:c r="M96" s="24" t="n">
        <x:v>0.695147518487459</x:v>
      </x:c>
      <x:c r="N96" s="24" t="n">
        <x:v>0.31591391964015675</x:v>
      </x:c>
      <x:c r="O96" s="24" t="n">
        <x:v>0.5055307190638079</x:v>
      </x:c>
      <x:c r="P96" s="24" t="n">
        <x:v>0.339044</x:v>
      </x:c>
      <x:c r="Q96" s="24"/>
      <x:c r="R96" s="24"/>
      <x:c r="S96" s="24" t="n">
        <x:v>0.719358</x:v>
      </x:c>
      <x:c r="T96" s="24"/>
      <x:c r="U96" s="24" t="n">
        <x:v>0.672513</x:v>
      </x:c>
      <x:c r="V96" s="24"/>
      <x:c r="W96" s="23" t="n">
        <x:v>60</x:v>
      </x:c>
      <x:c r="X96" s="23" t="n">
        <x:v>80</x:v>
      </x:c>
      <x:c r="Y96" s="25" t="n">
        <x:v>22.483</x:v>
      </x:c>
      <x:c r="Z96" s="23" t="str">
        <x:v>benchmark/preprocessing_training/dim_600/fir/msms_neg/seed_41/ttn/metrics.json</x:v>
      </x:c>
    </x:row>
    <x:row r="97">
      <x:c r="A97" s="23" t="str">
        <x:v>fir</x:v>
      </x:c>
      <x:c r="B97" s="23" t="str">
        <x:v>msms_neg</x:v>
      </x:c>
      <x:c r="C97" s="23" t="str">
        <x:v>xgboost</x:v>
      </x:c>
      <x:c r="D97" s="23" t="n">
        <x:v>41</x:v>
      </x:c>
      <x:c r="E97" s="23" t="n">
        <x:v>600</x:v>
      </x:c>
      <x:c r="F97" s="23" t="n">
        <x:v>635496</x:v>
      </x:c>
      <x:c r="G97" s="23" t="n">
        <x:v>79450</x:v>
      </x:c>
      <x:c r="H97" s="23" t="n">
        <x:v>79457</x:v>
      </x:c>
      <x:c r="I97" s="24" t="n">
        <x:v>0.7342720540206813</x:v>
      </x:c>
      <x:c r="J97" s="24" t="n">
        <x:v>0.3187967694907824</x:v>
      </x:c>
      <x:c r="K97" s="24" t="n">
        <x:v>0.5265344117557318</x:v>
      </x:c>
      <x:c r="L97" s="24"/>
      <x:c r="M97" s="24" t="n">
        <x:v>0.7337513938252237</x:v>
      </x:c>
      <x:c r="N97" s="24" t="n">
        <x:v>0.3034474488081022</x:v>
      </x:c>
      <x:c r="O97" s="24" t="n">
        <x:v>0.5185994213166629</x:v>
      </x:c>
      <x:c r="P97" s="24"/>
      <x:c r="Q97" s="24"/>
      <x:c r="R97" s="24"/>
      <x:c r="S97" s="24"/>
      <x:c r="T97" s="24"/>
      <x:c r="U97" s="24"/>
      <x:c r="V97" s="24"/>
      <x:c r="W97" s="23"/>
      <x:c r="X97" s="23"/>
      <x:c r="Y97" s="25" t="n">
        <x:v>4.286529759701807</x:v>
      </x:c>
      <x:c r="Z97" s="23" t="str">
        <x:v>benchmark/preprocessing_training/dim_600/fir/msms_neg/seed_41/xgboost/neg_msms/original/metrics.json</x:v>
      </x:c>
    </x:row>
    <x:row r="98">
      <x:c r="A98" s="23" t="str">
        <x:v>fir</x:v>
      </x:c>
      <x:c r="B98" s="23" t="str">
        <x:v>msms_pos</x:v>
      </x:c>
      <x:c r="C98" s="23" t="str">
        <x:v>cnn</x:v>
      </x:c>
      <x:c r="D98" s="23" t="n">
        <x:v>41</x:v>
      </x:c>
      <x:c r="E98" s="23" t="n">
        <x:v>600</x:v>
      </x:c>
      <x:c r="F98" s="23" t="n">
        <x:v>635496</x:v>
      </x:c>
      <x:c r="G98" s="23" t="n">
        <x:v>79450</x:v>
      </x:c>
      <x:c r="H98" s="23" t="n">
        <x:v>79457</x:v>
      </x:c>
      <x:c r="I98" s="24" t="n">
        <x:v>0.7474891296337239</x:v>
      </x:c>
      <x:c r="J98" s="24" t="n">
        <x:v>0.28484010192602094</x:v>
      </x:c>
      <x:c r="K98" s="24" t="n">
        <x:v>0.5161646157798725</x:v>
      </x:c>
      <x:c r="L98" s="24" t="n">
        <x:v>0.15501521527767181</x:v>
      </x:c>
      <x:c r="M98" s="24" t="n">
        <x:v>0.747343899741983</x:v>
      </x:c>
      <x:c r="N98" s="24" t="n">
        <x:v>0.2848063402071392</x:v>
      </x:c>
      <x:c r="O98" s="24" t="n">
        <x:v>0.5160751199745611</x:v>
      </x:c>
      <x:c r="P98" s="24"/>
      <x:c r="Q98" s="24"/>
      <x:c r="R98" s="24"/>
      <x:c r="S98" s="24"/>
      <x:c r="T98" s="24"/>
      <x:c r="U98" s="24"/>
      <x:c r="V98" s="24"/>
      <x:c r="W98" s="23" t="n">
        <x:v>38</x:v>
      </x:c>
      <x:c r="X98" s="23" t="n">
        <x:v>43</x:v>
      </x:c>
      <x:c r="Y98" s="25" t="n">
        <x:v>29.498309468916464</x:v>
      </x:c>
      <x:c r="Z98" s="23" t="str">
        <x:v>benchmark/preprocessing_training/dim_600/fir/msms_pos/seed_41/cnn/pos_msms/original/metrics.json</x:v>
      </x:c>
    </x:row>
    <x:row r="99">
      <x:c r="A99" s="23" t="str">
        <x:v>fir</x:v>
      </x:c>
      <x:c r="B99" s="23" t="str">
        <x:v>msms_pos</x:v>
      </x:c>
      <x:c r="C99" s="23" t="str">
        <x:v>mps</x:v>
      </x:c>
      <x:c r="D99" s="23" t="n">
        <x:v>41</x:v>
      </x:c>
      <x:c r="E99" s="23" t="n">
        <x:v>600</x:v>
      </x:c>
      <x:c r="F99" s="23"/>
      <x:c r="G99" s="23"/>
      <x:c r="H99" s="23"/>
      <x:c r="I99" s="24" t="n">
        <x:v>0.5671</x:v>
      </x:c>
      <x:c r="J99" s="24" t="n">
        <x:v>0.27</x:v>
      </x:c>
      <x:c r="K99" s="24" t="n">
        <x:v>0.41855000000000003</x:v>
      </x:c>
      <x:c r="L99" s="24" t="n">
        <x:v>7.2726</x:v>
      </x:c>
      <x:c r="M99" s="24" t="n">
        <x:v>0.5680712158130901</x:v>
      </x:c>
      <x:c r="N99" s="24" t="n">
        <x:v>0.268767826255022</x:v>
      </x:c>
      <x:c r="O99" s="24" t="n">
        <x:v>0.418419521034056</x:v>
      </x:c>
      <x:c r="P99" s="24" t="n">
        <x:v>7.4715</x:v>
      </x:c>
      <x:c r="Q99" s="24" t="n">
        <x:v>0.0101</x:v>
      </x:c>
      <x:c r="R99" s="24" t="n">
        <x:v>0.6333</x:v>
      </x:c>
      <x:c r="S99" s="24" t="n">
        <x:v>0.4971</x:v>
      </x:c>
      <x:c r="T99" s="24" t="n">
        <x:v>0.2277</x:v>
      </x:c>
      <x:c r="U99" s="24" t="n">
        <x:v>0.6626</x:v>
      </x:c>
      <x:c r="V99" s="24" t="n">
        <x:v>0.4085</x:v>
      </x:c>
      <x:c r="W99" s="23" t="n">
        <x:v>195</x:v>
      </x:c>
      <x:c r="X99" s="23" t="n">
        <x:v>200</x:v>
      </x:c>
      <x:c r="Y99" s="25" t="n">
        <x:v>131.4</x:v>
      </x:c>
      <x:c r="Z99" s="23" t="str">
        <x:v>benchmark/preprocessing_training/dim_600/fir/msms_pos/seed_41/mps/results/metrics.json</x:v>
      </x:c>
    </x:row>
    <x:row r="100">
      <x:c r="A100" s="23" t="str">
        <x:v>fir</x:v>
      </x:c>
      <x:c r="B100" s="23" t="str">
        <x:v>msms_pos</x:v>
      </x:c>
      <x:c r="C100" s="23" t="str">
        <x:v>ttn</x:v>
      </x:c>
      <x:c r="D100" s="23" t="n">
        <x:v>41</x:v>
      </x:c>
      <x:c r="E100" s="23" t="n">
        <x:v>600</x:v>
      </x:c>
      <x:c r="F100" s="23"/>
      <x:c r="G100" s="23"/>
      <x:c r="H100" s="23"/>
      <x:c r="I100" s="24" t="n">
        <x:v>0.6715892924641765</x:v>
      </x:c>
      <x:c r="J100" s="24" t="n">
        <x:v>0.26213699636786675</x:v>
      </x:c>
      <x:c r="K100" s="24" t="n">
        <x:v>0.4668631444160216</x:v>
      </x:c>
      <x:c r="L100" s="24" t="n">
        <x:v>0.363989</x:v>
      </x:c>
      <x:c r="M100" s="24" t="n">
        <x:v>0.6716293184966904</x:v>
      </x:c>
      <x:c r="N100" s="24" t="n">
        <x:v>0.2557796882853977</x:v>
      </x:c>
      <x:c r="O100" s="24" t="n">
        <x:v>0.4637045033910441</x:v>
      </x:c>
      <x:c r="P100" s="24" t="n">
        <x:v>0.364559</x:v>
      </x:c>
      <x:c r="Q100" s="24"/>
      <x:c r="R100" s="24"/>
      <x:c r="S100" s="24" t="n">
        <x:v>0.702231</x:v>
      </x:c>
      <x:c r="T100" s="24"/>
      <x:c r="U100" s="24" t="n">
        <x:v>0.643583</x:v>
      </x:c>
      <x:c r="V100" s="24"/>
      <x:c r="W100" s="23" t="n">
        <x:v>29</x:v>
      </x:c>
      <x:c r="X100" s="23" t="n">
        <x:v>59</x:v>
      </x:c>
      <x:c r="Y100" s="25" t="n">
        <x:v>16.547666666666668</x:v>
      </x:c>
      <x:c r="Z100" s="23" t="str">
        <x:v>benchmark/preprocessing_training/dim_600/fir/msms_pos/seed_41/ttn/metrics.json</x:v>
      </x:c>
    </x:row>
    <x:row r="101">
      <x:c r="A101" s="23" t="str">
        <x:v>fir</x:v>
      </x:c>
      <x:c r="B101" s="23" t="str">
        <x:v>msms_pos</x:v>
      </x:c>
      <x:c r="C101" s="23" t="str">
        <x:v>xgboost</x:v>
      </x:c>
      <x:c r="D101" s="23" t="n">
        <x:v>41</x:v>
      </x:c>
      <x:c r="E101" s="23" t="n">
        <x:v>600</x:v>
      </x:c>
      <x:c r="F101" s="23" t="n">
        <x:v>635496</x:v>
      </x:c>
      <x:c r="G101" s="23" t="n">
        <x:v>79450</x:v>
      </x:c>
      <x:c r="H101" s="23" t="n">
        <x:v>79457</x:v>
      </x:c>
      <x:c r="I101" s="24" t="n">
        <x:v>0.6927733809109902</x:v>
      </x:c>
      <x:c r="J101" s="24" t="n">
        <x:v>0.2243378318716644</x:v>
      </x:c>
      <x:c r="K101" s="24" t="n">
        <x:v>0.4585556063913273</x:v>
      </x:c>
      <x:c r="L101" s="24"/>
      <x:c r="M101" s="24" t="n">
        <x:v>0.6932757923951416</x:v>
      </x:c>
      <x:c r="N101" s="24" t="n">
        <x:v>0.21187141513676971</x:v>
      </x:c>
      <x:c r="O101" s="24" t="n">
        <x:v>0.4525736037659557</x:v>
      </x:c>
      <x:c r="P101" s="24"/>
      <x:c r="Q101" s="24"/>
      <x:c r="R101" s="24"/>
      <x:c r="S101" s="24"/>
      <x:c r="T101" s="24"/>
      <x:c r="U101" s="24"/>
      <x:c r="V101" s="24"/>
      <x:c r="W101" s="23"/>
      <x:c r="X101" s="23"/>
      <x:c r="Y101" s="25" t="n">
        <x:v>4.20123826933559</x:v>
      </x:c>
      <x:c r="Z101" s="23" t="str">
        <x:v>benchmark/preprocessing_training/dim_600/fir/msms_pos/seed_41/xgboost/pos_msms/original/metrics.json</x:v>
      </x:c>
    </x:row>
    <x:row r="102">
      <x:c r="A102" s="23" t="str">
        <x:v>gaussian</x:v>
      </x:c>
      <x:c r="B102" s="23" t="str">
        <x:v>cnmr</x:v>
      </x:c>
      <x:c r="C102" s="23" t="str">
        <x:v>cnn</x:v>
      </x:c>
      <x:c r="D102" s="23" t="n">
        <x:v>41</x:v>
      </x:c>
      <x:c r="E102" s="23" t="n">
        <x:v>600</x:v>
      </x:c>
      <x:c r="F102" s="23" t="n">
        <x:v>635496</x:v>
      </x:c>
      <x:c r="G102" s="23" t="n">
        <x:v>79450</x:v>
      </x:c>
      <x:c r="H102" s="23" t="n">
        <x:v>79457</x:v>
      </x:c>
      <x:c r="I102" s="24" t="n">
        <x:v>0.5682002649924448</x:v>
      </x:c>
      <x:c r="J102" s="24" t="n">
        <x:v>0.07067223456411624</x:v>
      </x:c>
      <x:c r="K102" s="24" t="n">
        <x:v>0.3194362497782805</x:v>
      </x:c>
      <x:c r="L102" s="24" t="n">
        <x:v>3.5785319805145264</x:v>
      </x:c>
      <x:c r="M102" s="24" t="n">
        <x:v>0.5682633155642797</x:v>
      </x:c>
      <x:c r="N102" s="24" t="n">
        <x:v>0.07074102043548623</x:v>
      </x:c>
      <x:c r="O102" s="24" t="n">
        <x:v>0.31950216799988296</x:v>
      </x:c>
      <x:c r="P102" s="24"/>
      <x:c r="Q102" s="24"/>
      <x:c r="R102" s="24"/>
      <x:c r="S102" s="24"/>
      <x:c r="T102" s="24"/>
      <x:c r="U102" s="24"/>
      <x:c r="V102" s="24"/>
      <x:c r="W102" s="23" t="n">
        <x:v>18</x:v>
      </x:c>
      <x:c r="X102" s="23" t="n">
        <x:v>37</x:v>
      </x:c>
      <x:c r="Y102" s="25" t="n">
        <x:v>26.606822493501628</x:v>
      </x:c>
      <x:c r="Z102" s="23" t="str">
        <x:v>benchmark/preprocessing_training/dim_600/gaussian/cnmr/seed_41/cnn/cnmr/original/metrics.json</x:v>
      </x:c>
    </x:row>
    <x:row r="103">
      <x:c r="A103" s="23" t="str">
        <x:v>gaussian</x:v>
      </x:c>
      <x:c r="B103" s="23" t="str">
        <x:v>cnmr</x:v>
      </x:c>
      <x:c r="C103" s="23" t="str">
        <x:v>mps</x:v>
      </x:c>
      <x:c r="D103" s="23" t="n">
        <x:v>41</x:v>
      </x:c>
      <x:c r="E103" s="23" t="n">
        <x:v>600</x:v>
      </x:c>
      <x:c r="F103" s="23"/>
      <x:c r="G103" s="23"/>
      <x:c r="H103" s="23"/>
      <x:c r="I103" s="24" t="n">
        <x:v>0.6047</x:v>
      </x:c>
      <x:c r="J103" s="24" t="n">
        <x:v>0.2983</x:v>
      </x:c>
      <x:c r="K103" s="24" t="n">
        <x:v>0.4515</x:v>
      </x:c>
      <x:c r="L103" s="24" t="n">
        <x:v>8.3175</x:v>
      </x:c>
      <x:c r="M103" s="24" t="n">
        <x:v>0.6060693433287682</x:v>
      </x:c>
      <x:c r="N103" s="24" t="n">
        <x:v>0.29662119576608004</x:v>
      </x:c>
      <x:c r="O103" s="24" t="n">
        <x:v>0.4513452695474241</x:v>
      </x:c>
      <x:c r="P103" s="24" t="n">
        <x:v>8.0784</x:v>
      </x:c>
      <x:c r="Q103" s="24" t="n">
        <x:v>0.0128</x:v>
      </x:c>
      <x:c r="R103" s="24" t="n">
        <x:v>0.685</x:v>
      </x:c>
      <x:c r="S103" s="24" t="n">
        <x:v>0.5071</x:v>
      </x:c>
      <x:c r="T103" s="24" t="n">
        <x:v>0.248</x:v>
      </x:c>
      <x:c r="U103" s="24" t="n">
        <x:v>0.753</x:v>
      </x:c>
      <x:c r="V103" s="24" t="n">
        <x:v>0.4343</x:v>
      </x:c>
      <x:c r="W103" s="23" t="n">
        <x:v>182</x:v>
      </x:c>
      <x:c r="X103" s="23" t="n">
        <x:v>192</x:v>
      </x:c>
      <x:c r="Y103" s="25" t="n">
        <x:v>266.6</x:v>
      </x:c>
      <x:c r="Z103" s="23" t="str">
        <x:v>benchmark/preprocessing_training/dim_600/gaussian/cnmr/seed_41/mps/results/metrics.json</x:v>
      </x:c>
    </x:row>
    <x:row r="104">
      <x:c r="A104" s="23" t="str">
        <x:v>gaussian</x:v>
      </x:c>
      <x:c r="B104" s="23" t="str">
        <x:v>cnmr</x:v>
      </x:c>
      <x:c r="C104" s="23" t="str">
        <x:v>ttn</x:v>
      </x:c>
      <x:c r="D104" s="23" t="n">
        <x:v>41</x:v>
      </x:c>
      <x:c r="E104" s="23" t="n">
        <x:v>600</x:v>
      </x:c>
      <x:c r="F104" s="23"/>
      <x:c r="G104" s="23"/>
      <x:c r="H104" s="23"/>
      <x:c r="I104" s="24" t="n">
        <x:v>0.717605798705722</x:v>
      </x:c>
      <x:c r="J104" s="24" t="n">
        <x:v>0.3237585706808335</x:v>
      </x:c>
      <x:c r="K104" s="24" t="n">
        <x:v>0.5206821846932778</x:v>
      </x:c>
      <x:c r="L104" s="24" t="n">
        <x:v>0.322504</x:v>
      </x:c>
      <x:c r="M104" s="24" t="n">
        <x:v>0.7187843928951182</x:v>
      </x:c>
      <x:c r="N104" s="24" t="n">
        <x:v>0.3235852824829541</x:v>
      </x:c>
      <x:c r="O104" s="24" t="n">
        <x:v>0.5211848376890361</x:v>
      </x:c>
      <x:c r="P104" s="24" t="n">
        <x:v>0.321708</x:v>
      </x:c>
      <x:c r="Q104" s="24"/>
      <x:c r="R104" s="24"/>
      <x:c r="S104" s="24" t="n">
        <x:v>0.72637</x:v>
      </x:c>
      <x:c r="T104" s="24"/>
      <x:c r="U104" s="24" t="n">
        <x:v>0.711356</x:v>
      </x:c>
      <x:c r="V104" s="24"/>
      <x:c r="W104" s="23" t="n">
        <x:v>27</x:v>
      </x:c>
      <x:c r="X104" s="23" t="n">
        <x:v>56</x:v>
      </x:c>
      <x:c r="Y104" s="25" t="n">
        <x:v>16.651666666666667</x:v>
      </x:c>
      <x:c r="Z104" s="23" t="str">
        <x:v>benchmark/preprocessing_training/dim_600/gaussian/cnmr/seed_41/ttn/metrics.json</x:v>
      </x:c>
    </x:row>
    <x:row r="105">
      <x:c r="A105" s="23" t="str">
        <x:v>gaussian</x:v>
      </x:c>
      <x:c r="B105" s="23" t="str">
        <x:v>cnmr</x:v>
      </x:c>
      <x:c r="C105" s="23" t="str">
        <x:v>xgboost</x:v>
      </x:c>
      <x:c r="D105" s="23" t="n">
        <x:v>41</x:v>
      </x:c>
      <x:c r="E105" s="23" t="n">
        <x:v>600</x:v>
      </x:c>
      <x:c r="F105" s="23" t="n">
        <x:v>635496</x:v>
      </x:c>
      <x:c r="G105" s="23" t="n">
        <x:v>79450</x:v>
      </x:c>
      <x:c r="H105" s="23" t="n">
        <x:v>79457</x:v>
      </x:c>
      <x:c r="I105" s="24" t="n">
        <x:v>0.7828152387143206</x:v>
      </x:c>
      <x:c r="J105" s="24" t="n">
        <x:v>0.39186945077037494</x:v>
      </x:c>
      <x:c r="K105" s="24" t="n">
        <x:v>0.5873423447423478</x:v>
      </x:c>
      <x:c r="L105" s="24"/>
      <x:c r="M105" s="24" t="n">
        <x:v>0.7827756445419638</x:v>
      </x:c>
      <x:c r="N105" s="24" t="n">
        <x:v>0.38559060946638857</x:v>
      </x:c>
      <x:c r="O105" s="24" t="n">
        <x:v>0.5841831270041762</x:v>
      </x:c>
      <x:c r="P105" s="24"/>
      <x:c r="Q105" s="24"/>
      <x:c r="R105" s="24"/>
      <x:c r="S105" s="24"/>
      <x:c r="T105" s="24"/>
      <x:c r="U105" s="24"/>
      <x:c r="V105" s="24"/>
      <x:c r="W105" s="23"/>
      <x:c r="X105" s="23"/>
      <x:c r="Y105" s="25" t="n">
        <x:v>4.766505538734297</x:v>
      </x:c>
      <x:c r="Z105" s="23" t="str">
        <x:v>benchmark/preprocessing_training/dim_600/gaussian/cnmr/seed_41/xgboost/cnmr/original/metrics.json</x:v>
      </x:c>
    </x:row>
    <x:row r="106">
      <x:c r="A106" s="23" t="str">
        <x:v>gaussian</x:v>
      </x:c>
      <x:c r="B106" s="23" t="str">
        <x:v>hnmr</x:v>
      </x:c>
      <x:c r="C106" s="23" t="str">
        <x:v>cnn</x:v>
      </x:c>
      <x:c r="D106" s="23" t="n">
        <x:v>41</x:v>
      </x:c>
      <x:c r="E106" s="23" t="n">
        <x:v>600</x:v>
      </x:c>
      <x:c r="F106" s="23" t="n">
        <x:v>635496</x:v>
      </x:c>
      <x:c r="G106" s="23" t="n">
        <x:v>79450</x:v>
      </x:c>
      <x:c r="H106" s="23" t="n">
        <x:v>79457</x:v>
      </x:c>
      <x:c r="I106" s="24" t="n">
        <x:v>0.5351084815591131</x:v>
      </x:c>
      <x:c r="J106" s="24" t="n">
        <x:v>0.0907909729368366</x:v>
      </x:c>
      <x:c r="K106" s="24" t="n">
        <x:v>0.3129497272479748</x:v>
      </x:c>
      <x:c r="L106" s="24" t="n">
        <x:v>1.432581901550293</x:v>
      </x:c>
      <x:c r="M106" s="24" t="n">
        <x:v>0.5359861222070265</x:v>
      </x:c>
      <x:c r="N106" s="24" t="n">
        <x:v>0.09104900080450852</x:v>
      </x:c>
      <x:c r="O106" s="24" t="n">
        <x:v>0.3135175615057675</x:v>
      </x:c>
      <x:c r="P106" s="24"/>
      <x:c r="Q106" s="24"/>
      <x:c r="R106" s="24"/>
      <x:c r="S106" s="24"/>
      <x:c r="T106" s="24"/>
      <x:c r="U106" s="24"/>
      <x:c r="V106" s="24"/>
      <x:c r="W106" s="23" t="n">
        <x:v>21</x:v>
      </x:c>
      <x:c r="X106" s="23" t="n">
        <x:v>44</x:v>
      </x:c>
      <x:c r="Y106" s="25" t="n">
        <x:v>33.24729041236375</x:v>
      </x:c>
      <x:c r="Z106" s="23" t="str">
        <x:v>benchmark/preprocessing_training/dim_600/gaussian/hnmr/seed_41/cnn/hnmr/original/metrics.json</x:v>
      </x:c>
    </x:row>
    <x:row r="107">
      <x:c r="A107" s="23" t="str">
        <x:v>gaussian</x:v>
      </x:c>
      <x:c r="B107" s="23" t="str">
        <x:v>hnmr</x:v>
      </x:c>
      <x:c r="C107" s="23" t="str">
        <x:v>mps</x:v>
      </x:c>
      <x:c r="D107" s="23" t="n">
        <x:v>41</x:v>
      </x:c>
      <x:c r="E107" s="23" t="n">
        <x:v>600</x:v>
      </x:c>
      <x:c r="F107" s="23"/>
      <x:c r="G107" s="23"/>
      <x:c r="H107" s="23"/>
      <x:c r="I107" s="24" t="n">
        <x:v>0.6431</x:v>
      </x:c>
      <x:c r="J107" s="24" t="n">
        <x:v>0.3299</x:v>
      </x:c>
      <x:c r="K107" s="24" t="n">
        <x:v>0.48650000000000004</x:v>
      </x:c>
      <x:c r="L107" s="24" t="n">
        <x:v>8.0375</x:v>
      </x:c>
      <x:c r="M107" s="24" t="n">
        <x:v>0.6432931252401053</x:v>
      </x:c>
      <x:c r="N107" s="24" t="n">
        <x:v>0.32758579519051895</x:v>
      </x:c>
      <x:c r="O107" s="24" t="n">
        <x:v>0.48543946021531215</x:v>
      </x:c>
      <x:c r="P107" s="24" t="n">
        <x:v>8.5165</x:v>
      </x:c>
      <x:c r="Q107" s="24" t="n">
        <x:v>0.0292</x:v>
      </x:c>
      <x:c r="R107" s="24" t="n">
        <x:v>0.6905</x:v>
      </x:c>
      <x:c r="S107" s="24" t="n">
        <x:v>0.575</x:v>
      </x:c>
      <x:c r="T107" s="24" t="n">
        <x:v>0.2952</x:v>
      </x:c>
      <x:c r="U107" s="24" t="n">
        <x:v>0.73</x:v>
      </x:c>
      <x:c r="V107" s="24" t="n">
        <x:v>0.3938</x:v>
      </x:c>
      <x:c r="W107" s="23" t="n">
        <x:v>179</x:v>
      </x:c>
      <x:c r="X107" s="23" t="n">
        <x:v>189</x:v>
      </x:c>
      <x:c r="Y107" s="25" t="n">
        <x:v>123.7</x:v>
      </x:c>
      <x:c r="Z107" s="23" t="str">
        <x:v>benchmark/preprocessing_training/dim_600/gaussian/hnmr/seed_41/mps/results/metrics.json</x:v>
      </x:c>
    </x:row>
    <x:row r="108">
      <x:c r="A108" s="23" t="str">
        <x:v>gaussian</x:v>
      </x:c>
      <x:c r="B108" s="23" t="str">
        <x:v>hnmr</x:v>
      </x:c>
      <x:c r="C108" s="23" t="str">
        <x:v>ttn</x:v>
      </x:c>
      <x:c r="D108" s="23" t="n">
        <x:v>41</x:v>
      </x:c>
      <x:c r="E108" s="23" t="n">
        <x:v>600</x:v>
      </x:c>
      <x:c r="F108" s="23"/>
      <x:c r="G108" s="23"/>
      <x:c r="H108" s="23"/>
      <x:c r="I108" s="24" t="n">
        <x:v>0.6821943794885005</x:v>
      </x:c>
      <x:c r="J108" s="24" t="n">
        <x:v>0.2868001180907353</x:v>
      </x:c>
      <x:c r="K108" s="24" t="n">
        <x:v>0.48449724878961786</x:v>
      </x:c>
      <x:c r="L108" s="24" t="n">
        <x:v>0.365567</x:v>
      </x:c>
      <x:c r="M108" s="24" t="n">
        <x:v>0.6828765955390025</x:v>
      </x:c>
      <x:c r="N108" s="24" t="n">
        <x:v>0.28352214303342604</x:v>
      </x:c>
      <x:c r="O108" s="24" t="n">
        <x:v>0.48319936928621426</x:v>
      </x:c>
      <x:c r="P108" s="24" t="n">
        <x:v>0.366054</x:v>
      </x:c>
      <x:c r="Q108" s="24"/>
      <x:c r="R108" s="24"/>
      <x:c r="S108" s="24" t="n">
        <x:v>0.6964</x:v>
      </x:c>
      <x:c r="T108" s="24"/>
      <x:c r="U108" s="24" t="n">
        <x:v>0.669869</x:v>
      </x:c>
      <x:c r="V108" s="24"/>
      <x:c r="W108" s="23" t="n">
        <x:v>77</x:v>
      </x:c>
      <x:c r="X108" s="23" t="n">
        <x:v>97</x:v>
      </x:c>
      <x:c r="Y108" s="25" t="n">
        <x:v>28.503666666666668</x:v>
      </x:c>
      <x:c r="Z108" s="23" t="str">
        <x:v>benchmark/preprocessing_training/dim_600/gaussian/hnmr/seed_41/ttn/metrics.json</x:v>
      </x:c>
    </x:row>
    <x:row r="109">
      <x:c r="A109" s="23" t="str">
        <x:v>gaussian</x:v>
      </x:c>
      <x:c r="B109" s="23" t="str">
        <x:v>hnmr</x:v>
      </x:c>
      <x:c r="C109" s="23" t="str">
        <x:v>xgboost</x:v>
      </x:c>
      <x:c r="D109" s="23" t="n">
        <x:v>41</x:v>
      </x:c>
      <x:c r="E109" s="23" t="n">
        <x:v>600</x:v>
      </x:c>
      <x:c r="F109" s="23" t="n">
        <x:v>635496</x:v>
      </x:c>
      <x:c r="G109" s="23" t="n">
        <x:v>79450</x:v>
      </x:c>
      <x:c r="H109" s="23" t="n">
        <x:v>79457</x:v>
      </x:c>
      <x:c r="I109" s="24" t="n">
        <x:v>0.7577487435380352</x:v>
      </x:c>
      <x:c r="J109" s="24" t="n">
        <x:v>0.3540815482489786</x:v>
      </x:c>
      <x:c r="K109" s="24" t="n">
        <x:v>0.5559151458935069</x:v>
      </x:c>
      <x:c r="L109" s="24"/>
      <x:c r="M109" s="24" t="n">
        <x:v>0.7587062217469062</x:v>
      </x:c>
      <x:c r="N109" s="24" t="n">
        <x:v>0.3415716609959791</x:v>
      </x:c>
      <x:c r="O109" s="24" t="n">
        <x:v>0.5501389413714426</x:v>
      </x:c>
      <x:c r="P109" s="24"/>
      <x:c r="Q109" s="24"/>
      <x:c r="R109" s="24"/>
      <x:c r="S109" s="24"/>
      <x:c r="T109" s="24"/>
      <x:c r="U109" s="24"/>
      <x:c r="V109" s="24"/>
      <x:c r="W109" s="23"/>
      <x:c r="X109" s="23"/>
      <x:c r="Y109" s="25" t="n">
        <x:v>6.88546645148114</x:v>
      </x:c>
      <x:c r="Z109" s="23" t="str">
        <x:v>benchmark/preprocessing_training/dim_600/gaussian/hnmr/seed_41/xgboost/hnmr/original/metrics.json</x:v>
      </x:c>
    </x:row>
    <x:row r="110">
      <x:c r="A110" s="23" t="str">
        <x:v>gaussian</x:v>
      </x:c>
      <x:c r="B110" s="23" t="str">
        <x:v>ir</x:v>
      </x:c>
      <x:c r="C110" s="23" t="str">
        <x:v>cnn</x:v>
      </x:c>
      <x:c r="D110" s="23" t="n">
        <x:v>41</x:v>
      </x:c>
      <x:c r="E110" s="23" t="n">
        <x:v>600</x:v>
      </x:c>
      <x:c r="F110" s="23" t="n">
        <x:v>635496</x:v>
      </x:c>
      <x:c r="G110" s="23" t="n">
        <x:v>79450</x:v>
      </x:c>
      <x:c r="H110" s="23" t="n">
        <x:v>79457</x:v>
      </x:c>
      <x:c r="I110" s="24" t="n">
        <x:v>0.8747312285781194</x:v>
      </x:c>
      <x:c r="J110" s="24" t="n">
        <x:v>0.6451522439605205</x:v>
      </x:c>
      <x:c r="K110" s="24" t="n">
        <x:v>0.7599417362693199</x:v>
      </x:c>
      <x:c r="L110" s="24" t="n">
        <x:v>0.0870136022567749</x:v>
      </x:c>
      <x:c r="M110" s="24" t="n">
        <x:v>0.8749270047262361</x:v>
      </x:c>
      <x:c r="N110" s="24" t="n">
        <x:v>0.6498357253655643</x:v>
      </x:c>
      <x:c r="O110" s="24" t="n">
        <x:v>0.7623813650459002</x:v>
      </x:c>
      <x:c r="P110" s="24"/>
      <x:c r="Q110" s="24"/>
      <x:c r="R110" s="24"/>
      <x:c r="S110" s="24"/>
      <x:c r="T110" s="24"/>
      <x:c r="U110" s="24"/>
      <x:c r="V110" s="24"/>
      <x:c r="W110" s="23" t="n">
        <x:v>53</x:v>
      </x:c>
      <x:c r="X110" s="23" t="n">
        <x:v>54</x:v>
      </x:c>
      <x:c r="Y110" s="25" t="n">
        <x:v>42.20902915211627</x:v>
      </x:c>
      <x:c r="Z110" s="23" t="str">
        <x:v>benchmark/preprocessing_training/dim_600/gaussian/ir/seed_41/cnn/ir/original/metrics.json</x:v>
      </x:c>
    </x:row>
    <x:row r="111">
      <x:c r="A111" s="23" t="str">
        <x:v>gaussian</x:v>
      </x:c>
      <x:c r="B111" s="23" t="str">
        <x:v>ir</x:v>
      </x:c>
      <x:c r="C111" s="23" t="str">
        <x:v>mps</x:v>
      </x:c>
      <x:c r="D111" s="23" t="n">
        <x:v>41</x:v>
      </x:c>
      <x:c r="E111" s="23" t="n">
        <x:v>600</x:v>
      </x:c>
      <x:c r="F111" s="23"/>
      <x:c r="G111" s="23"/>
      <x:c r="H111" s="23"/>
      <x:c r="I111" s="24" t="n">
        <x:v>0.8416</x:v>
      </x:c>
      <x:c r="J111" s="24" t="n">
        <x:v>0.716</x:v>
      </x:c>
      <x:c r="K111" s="24" t="n">
        <x:v>0.7787999999999999</x:v>
      </x:c>
      <x:c r="L111" s="24" t="n">
        <x:v>3.4562</x:v>
      </x:c>
      <x:c r="M111" s="24" t="n">
        <x:v>0.8423809152526879</x:v>
      </x:c>
      <x:c r="N111" s="24" t="n">
        <x:v>0.6877473180036932</x:v>
      </x:c>
      <x:c r="O111" s="24" t="n">
        <x:v>0.7650641166281905</x:v>
      </x:c>
      <x:c r="P111" s="24" t="n">
        <x:v>3.4362</x:v>
      </x:c>
      <x:c r="Q111" s="24" t="n">
        <x:v>0.2519</x:v>
      </x:c>
      <x:c r="R111" s="24" t="n">
        <x:v>0.8437</x:v>
      </x:c>
      <x:c r="S111" s="24" t="n">
        <x:v>0.8602</x:v>
      </x:c>
      <x:c r="T111" s="24" t="n">
        <x:v>0.7331</x:v>
      </x:c>
      <x:c r="U111" s="24" t="n">
        <x:v>0.8253</x:v>
      </x:c>
      <x:c r="V111" s="24" t="n">
        <x:v>0.6691</x:v>
      </x:c>
      <x:c r="W111" s="23" t="n">
        <x:v>152</x:v>
      </x:c>
      <x:c r="X111" s="23" t="n">
        <x:v>162</x:v>
      </x:c>
      <x:c r="Y111" s="25" t="n">
        <x:v>104.6</x:v>
      </x:c>
      <x:c r="Z111" s="23" t="str">
        <x:v>benchmark/preprocessing_training/dim_600/gaussian/ir/seed_41/mps/results/metrics.json</x:v>
      </x:c>
    </x:row>
    <x:row r="112">
      <x:c r="A112" s="23" t="str">
        <x:v>gaussian</x:v>
      </x:c>
      <x:c r="B112" s="23" t="str">
        <x:v>ir</x:v>
      </x:c>
      <x:c r="C112" s="23" t="str">
        <x:v>ttn</x:v>
      </x:c>
      <x:c r="D112" s="23" t="n">
        <x:v>41</x:v>
      </x:c>
      <x:c r="E112" s="23" t="n">
        <x:v>600</x:v>
      </x:c>
      <x:c r="F112" s="23"/>
      <x:c r="G112" s="23"/>
      <x:c r="H112" s="23"/>
      <x:c r="I112" s="24" t="n">
        <x:v>0.8303827341216424</x:v>
      </x:c>
      <x:c r="J112" s="24" t="n">
        <x:v>0.6036306995751446</x:v>
      </x:c>
      <x:c r="K112" s="24" t="n">
        <x:v>0.7170067168483936</x:v>
      </x:c>
      <x:c r="L112" s="24" t="n">
        <x:v>0.185121</x:v>
      </x:c>
      <x:c r="M112" s="24" t="n">
        <x:v>0.8306861424592329</x:v>
      </x:c>
      <x:c r="N112" s="24" t="n">
        <x:v>0.59495678916985</x:v>
      </x:c>
      <x:c r="O112" s="24" t="n">
        <x:v>0.7128214658145414</x:v>
      </x:c>
      <x:c r="P112" s="24" t="n">
        <x:v>0.183746</x:v>
      </x:c>
      <x:c r="Q112" s="24"/>
      <x:c r="R112" s="24"/>
      <x:c r="S112" s="24" t="n">
        <x:v>0.824823</x:v>
      </x:c>
      <x:c r="T112" s="24"/>
      <x:c r="U112" s="24" t="n">
        <x:v>0.836633</x:v>
      </x:c>
      <x:c r="V112" s="24"/>
      <x:c r="W112" s="23" t="n">
        <x:v>51</x:v>
      </x:c>
      <x:c r="X112" s="23" t="n">
        <x:v>71</x:v>
      </x:c>
      <x:c r="Y112" s="25" t="n">
        <x:v>20.940333333333335</x:v>
      </x:c>
      <x:c r="Z112" s="23" t="str">
        <x:v>benchmark/preprocessing_training/dim_600/gaussian/ir/seed_41/ttn/metrics.json</x:v>
      </x:c>
    </x:row>
    <x:row r="113">
      <x:c r="A113" s="23" t="str">
        <x:v>gaussian</x:v>
      </x:c>
      <x:c r="B113" s="23" t="str">
        <x:v>ir</x:v>
      </x:c>
      <x:c r="C113" s="23" t="str">
        <x:v>xgboost</x:v>
      </x:c>
      <x:c r="D113" s="23" t="n">
        <x:v>41</x:v>
      </x:c>
      <x:c r="E113" s="23" t="n">
        <x:v>600</x:v>
      </x:c>
      <x:c r="F113" s="23" t="n">
        <x:v>635496</x:v>
      </x:c>
      <x:c r="G113" s="23" t="n">
        <x:v>79450</x:v>
      </x:c>
      <x:c r="H113" s="23" t="n">
        <x:v>79457</x:v>
      </x:c>
      <x:c r="I113" s="24" t="n">
        <x:v>0.8376008672910566</x:v>
      </x:c>
      <x:c r="J113" s="24" t="n">
        <x:v>0.5592858448319963</x:v>
      </x:c>
      <x:c r="K113" s="24" t="n">
        <x:v>0.6984433560615264</x:v>
      </x:c>
      <x:c r="L113" s="24"/>
      <x:c r="M113" s="24" t="n">
        <x:v>0.8379983676572528</x:v>
      </x:c>
      <x:c r="N113" s="24" t="n">
        <x:v>0.5522277525723633</x:v>
      </x:c>
      <x:c r="O113" s="24" t="n">
        <x:v>0.6951130601148081</x:v>
      </x:c>
      <x:c r="P113" s="24"/>
      <x:c r="Q113" s="24"/>
      <x:c r="R113" s="24"/>
      <x:c r="S113" s="24"/>
      <x:c r="T113" s="24"/>
      <x:c r="U113" s="24"/>
      <x:c r="V113" s="24"/>
      <x:c r="W113" s="23"/>
      <x:c r="X113" s="23"/>
      <x:c r="Y113" s="25" t="n">
        <x:v>10.768710112998573</x:v>
      </x:c>
      <x:c r="Z113" s="23" t="str">
        <x:v>benchmark/preprocessing_training/dim_600/gaussian/ir/seed_41/xgboost/ir/original/metrics.json</x:v>
      </x:c>
    </x:row>
    <x:row r="114">
      <x:c r="A114" s="23" t="str">
        <x:v>gaussian</x:v>
      </x:c>
      <x:c r="B114" s="23" t="str">
        <x:v>msms_neg</x:v>
      </x:c>
      <x:c r="C114" s="23" t="str">
        <x:v>cnn</x:v>
      </x:c>
      <x:c r="D114" s="23" t="n">
        <x:v>41</x:v>
      </x:c>
      <x:c r="E114" s="23" t="n">
        <x:v>600</x:v>
      </x:c>
      <x:c r="F114" s="23" t="n">
        <x:v>635496</x:v>
      </x:c>
      <x:c r="G114" s="23" t="n">
        <x:v>79450</x:v>
      </x:c>
      <x:c r="H114" s="23" t="n">
        <x:v>79457</x:v>
      </x:c>
      <x:c r="I114" s="24" t="n">
        <x:v>0.6425529607683669</x:v>
      </x:c>
      <x:c r="J114" s="24" t="n">
        <x:v>0.11979141442176951</x:v>
      </x:c>
      <x:c r="K114" s="24" t="n">
        <x:v>0.3811721875950682</x:v>
      </x:c>
      <x:c r="L114" s="24" t="n">
        <x:v>0.20007456839084625</x:v>
      </x:c>
      <x:c r="M114" s="24" t="n">
        <x:v>0.6429886439711389</x:v>
      </x:c>
      <x:c r="N114" s="24" t="n">
        <x:v>0.11964324219993179</x:v>
      </x:c>
      <x:c r="O114" s="24" t="n">
        <x:v>0.38131594308553535</x:v>
      </x:c>
      <x:c r="P114" s="24"/>
      <x:c r="Q114" s="24"/>
      <x:c r="R114" s="24"/>
      <x:c r="S114" s="24"/>
      <x:c r="T114" s="24"/>
      <x:c r="U114" s="24"/>
      <x:c r="V114" s="24"/>
      <x:c r="W114" s="23" t="n">
        <x:v>30</x:v>
      </x:c>
      <x:c r="X114" s="23" t="n">
        <x:v>34</x:v>
      </x:c>
      <x:c r="Y114" s="25" t="n">
        <x:v>26.640855294815264</x:v>
      </x:c>
      <x:c r="Z114" s="23" t="str">
        <x:v>benchmark/preprocessing_training/dim_600/gaussian/msms_neg/seed_41/cnn/neg_msms/original/metrics.json</x:v>
      </x:c>
    </x:row>
    <x:row r="115">
      <x:c r="A115" s="23" t="str">
        <x:v>gaussian</x:v>
      </x:c>
      <x:c r="B115" s="23" t="str">
        <x:v>msms_neg</x:v>
      </x:c>
      <x:c r="C115" s="23" t="str">
        <x:v>mps</x:v>
      </x:c>
      <x:c r="D115" s="23" t="n">
        <x:v>41</x:v>
      </x:c>
      <x:c r="E115" s="23" t="n">
        <x:v>600</x:v>
      </x:c>
      <x:c r="F115" s="23"/>
      <x:c r="G115" s="23"/>
      <x:c r="H115" s="23"/>
      <x:c r="I115" s="24" t="n">
        <x:v>0.2941</x:v>
      </x:c>
      <x:c r="J115" s="24" t="n">
        <x:v>0.1697</x:v>
      </x:c>
      <x:c r="K115" s="24" t="n">
        <x:v>0.2319</x:v>
      </x:c>
      <x:c r="L115" s="24" t="n">
        <x:v>1.1919</x:v>
      </x:c>
      <x:c r="M115" s="24" t="n">
        <x:v>0.29366185378514176</x:v>
      </x:c>
      <x:c r="N115" s="24" t="n">
        <x:v>0.1697465418405698</x:v>
      </x:c>
      <x:c r="O115" s="24" t="n">
        <x:v>0.23170419781285578</x:v>
      </x:c>
      <x:c r="P115" s="24" t="n">
        <x:v>1.2064</x:v>
      </x:c>
      <x:c r="Q115" s="24" t="n">
        <x:v>0</x:v>
      </x:c>
      <x:c r="R115" s="24" t="n">
        <x:v>0.5515</x:v>
      </x:c>
      <x:c r="S115" s="24" t="n">
        <x:v>0.1919</x:v>
      </x:c>
      <x:c r="T115" s="24" t="n">
        <x:v>0.1468</x:v>
      </x:c>
      <x:c r="U115" s="24" t="n">
        <x:v>0.6253</x:v>
      </x:c>
      <x:c r="V115" s="24" t="n">
        <x:v>0.5344</x:v>
      </x:c>
      <x:c r="W115" s="23" t="n">
        <x:v>1</x:v>
      </x:c>
      <x:c r="X115" s="23" t="n">
        <x:v>21</x:v>
      </x:c>
      <x:c r="Y115" s="25" t="n">
        <x:v>14.7</x:v>
      </x:c>
      <x:c r="Z115" s="23" t="str">
        <x:v>benchmark/preprocessing_training/dim_600/gaussian/msms_neg/seed_41/mps/results/metrics.json</x:v>
      </x:c>
    </x:row>
    <x:row r="116">
      <x:c r="A116" s="23" t="str">
        <x:v>gaussian</x:v>
      </x:c>
      <x:c r="B116" s="23" t="str">
        <x:v>msms_neg</x:v>
      </x:c>
      <x:c r="C116" s="23" t="str">
        <x:v>ttn</x:v>
      </x:c>
      <x:c r="D116" s="23" t="n">
        <x:v>41</x:v>
      </x:c>
      <x:c r="E116" s="23" t="n">
        <x:v>600</x:v>
      </x:c>
      <x:c r="F116" s="23"/>
      <x:c r="G116" s="23"/>
      <x:c r="H116" s="23"/>
      <x:c r="I116" s="24" t="n">
        <x:v>0.6530680640168136</x:v>
      </x:c>
      <x:c r="J116" s="24" t="n">
        <x:v>0.14021359017800208</x:v>
      </x:c>
      <x:c r="K116" s="24" t="n">
        <x:v>0.39664082709740783</x:v>
      </x:c>
      <x:c r="L116" s="24" t="n">
        <x:v>0.403062</x:v>
      </x:c>
      <x:c r="M116" s="24" t="n">
        <x:v>0.6534886263440594</x:v>
      </x:c>
      <x:c r="N116" s="24" t="n">
        <x:v>0.13978660118375422</x:v>
      </x:c>
      <x:c r="O116" s="24" t="n">
        <x:v>0.39663761376390677</x:v>
      </x:c>
      <x:c r="P116" s="24" t="n">
        <x:v>0.403321</x:v>
      </x:c>
      <x:c r="Q116" s="24"/>
      <x:c r="R116" s="24"/>
      <x:c r="S116" s="24" t="n">
        <x:v>0.708812</x:v>
      </x:c>
      <x:c r="T116" s="24"/>
      <x:c r="U116" s="24" t="n">
        <x:v>0.606176</x:v>
      </x:c>
      <x:c r="V116" s="24"/>
      <x:c r="W116" s="23" t="n">
        <x:v>4</x:v>
      </x:c>
      <x:c r="X116" s="23" t="n">
        <x:v>68</x:v>
      </x:c>
      <x:c r="Y116" s="25" t="n">
        <x:v>19.786166666666666</x:v>
      </x:c>
      <x:c r="Z116" s="23" t="str">
        <x:v>benchmark/preprocessing_training/dim_600/gaussian/msms_neg/seed_41/ttn/metrics.json</x:v>
      </x:c>
    </x:row>
    <x:row r="117">
      <x:c r="A117" s="23" t="str">
        <x:v>gaussian</x:v>
      </x:c>
      <x:c r="B117" s="23" t="str">
        <x:v>msms_neg</x:v>
      </x:c>
      <x:c r="C117" s="23" t="str">
        <x:v>xgboost</x:v>
      </x:c>
      <x:c r="D117" s="23" t="n">
        <x:v>41</x:v>
      </x:c>
      <x:c r="E117" s="23" t="n">
        <x:v>600</x:v>
      </x:c>
      <x:c r="F117" s="23" t="n">
        <x:v>635496</x:v>
      </x:c>
      <x:c r="G117" s="23" t="n">
        <x:v>79450</x:v>
      </x:c>
      <x:c r="H117" s="23" t="n">
        <x:v>79457</x:v>
      </x:c>
      <x:c r="I117" s="24" t="n">
        <x:v>0.6436577826666748</x:v>
      </x:c>
      <x:c r="J117" s="24" t="n">
        <x:v>0.11934534046116438</x:v>
      </x:c>
      <x:c r="K117" s="24" t="n">
        <x:v>0.3815015615639196</x:v>
      </x:c>
      <x:c r="L117" s="24"/>
      <x:c r="M117" s="24" t="n">
        <x:v>0.6440824276085795</x:v>
      </x:c>
      <x:c r="N117" s="24" t="n">
        <x:v>0.11838422557919985</x:v>
      </x:c>
      <x:c r="O117" s="24" t="n">
        <x:v>0.38123332659388964</x:v>
      </x:c>
      <x:c r="P117" s="24"/>
      <x:c r="Q117" s="24"/>
      <x:c r="R117" s="24"/>
      <x:c r="S117" s="24"/>
      <x:c r="T117" s="24"/>
      <x:c r="U117" s="24"/>
      <x:c r="V117" s="24"/>
      <x:c r="W117" s="23"/>
      <x:c r="X117" s="23"/>
      <x:c r="Y117" s="25" t="n">
        <x:v>3.1674871255333223</x:v>
      </x:c>
      <x:c r="Z117" s="23" t="str">
        <x:v>benchmark/preprocessing_training/dim_600/gaussian/msms_neg/seed_41/xgboost/neg_msms/original/metrics.json</x:v>
      </x:c>
    </x:row>
    <x:row r="118">
      <x:c r="A118" s="23" t="str">
        <x:v>gaussian</x:v>
      </x:c>
      <x:c r="B118" s="23" t="str">
        <x:v>msms_pos</x:v>
      </x:c>
      <x:c r="C118" s="23" t="str">
        <x:v>cnn</x:v>
      </x:c>
      <x:c r="D118" s="23" t="n">
        <x:v>41</x:v>
      </x:c>
      <x:c r="E118" s="23" t="n">
        <x:v>600</x:v>
      </x:c>
      <x:c r="F118" s="23" t="n">
        <x:v>635496</x:v>
      </x:c>
      <x:c r="G118" s="23" t="n">
        <x:v>79450</x:v>
      </x:c>
      <x:c r="H118" s="23" t="n">
        <x:v>79457</x:v>
      </x:c>
      <x:c r="I118" s="24" t="n">
        <x:v>0.6429113012270481</x:v>
      </x:c>
      <x:c r="J118" s="24" t="n">
        <x:v>0.10941157405760422</x:v>
      </x:c>
      <x:c r="K118" s="24" t="n">
        <x:v>0.3761614376423262</x:v>
      </x:c>
      <x:c r="L118" s="24" t="n">
        <x:v>0.19500578939914703</x:v>
      </x:c>
      <x:c r="M118" s="24" t="n">
        <x:v>0.6423562678508734</x:v>
      </x:c>
      <x:c r="N118" s="24" t="n">
        <x:v>0.10915740024772104</x:v>
      </x:c>
      <x:c r="O118" s="24" t="n">
        <x:v>0.3757568340492972</x:v>
      </x:c>
      <x:c r="P118" s="24"/>
      <x:c r="Q118" s="24"/>
      <x:c r="R118" s="24"/>
      <x:c r="S118" s="24"/>
      <x:c r="T118" s="24"/>
      <x:c r="U118" s="24"/>
      <x:c r="V118" s="24"/>
      <x:c r="W118" s="23" t="n">
        <x:v>22</x:v>
      </x:c>
      <x:c r="X118" s="23" t="n">
        <x:v>32</x:v>
      </x:c>
      <x:c r="Y118" s="25" t="n">
        <x:v>25.40610075163422</x:v>
      </x:c>
      <x:c r="Z118" s="23" t="str">
        <x:v>benchmark/preprocessing_training/dim_600/gaussian/msms_pos/seed_41/cnn/pos_msms/original/metrics.json</x:v>
      </x:c>
    </x:row>
    <x:row r="119">
      <x:c r="A119" s="23" t="str">
        <x:v>gaussian</x:v>
      </x:c>
      <x:c r="B119" s="23" t="str">
        <x:v>msms_pos</x:v>
      </x:c>
      <x:c r="C119" s="23" t="str">
        <x:v>mps</x:v>
      </x:c>
      <x:c r="D119" s="23" t="n">
        <x:v>41</x:v>
      </x:c>
      <x:c r="E119" s="23" t="n">
        <x:v>600</x:v>
      </x:c>
      <x:c r="F119" s="23"/>
      <x:c r="G119" s="23"/>
      <x:c r="H119" s="23"/>
      <x:c r="I119" s="24" t="n">
        <x:v>0.2849</x:v>
      </x:c>
      <x:c r="J119" s="24" t="n">
        <x:v>0.1728</x:v>
      </x:c>
      <x:c r="K119" s="24" t="n">
        <x:v>0.22885</x:v>
      </x:c>
      <x:c r="L119" s="24" t="n">
        <x:v>1.4709</x:v>
      </x:c>
      <x:c r="M119" s="24" t="n">
        <x:v>0.28460514203155607</x:v>
      </x:c>
      <x:c r="N119" s="24" t="n">
        <x:v>0.17309783982501228</x:v>
      </x:c>
      <x:c r="O119" s="24" t="n">
        <x:v>0.22885149092828416</x:v>
      </x:c>
      <x:c r="P119" s="24" t="n">
        <x:v>1.2359</x:v>
      </x:c>
      <x:c r="Q119" s="24" t="n">
        <x:v>0</x:v>
      </x:c>
      <x:c r="R119" s="24" t="n">
        <x:v>0.5459</x:v>
      </x:c>
      <x:c r="S119" s="24" t="n">
        <x:v>0.1876</x:v>
      </x:c>
      <x:c r="T119" s="24" t="n">
        <x:v>0.1547</x:v>
      </x:c>
      <x:c r="U119" s="24" t="n">
        <x:v>0.5892</x:v>
      </x:c>
      <x:c r="V119" s="24" t="n">
        <x:v>0.5614</x:v>
      </x:c>
      <x:c r="W119" s="23" t="n">
        <x:v>20</x:v>
      </x:c>
      <x:c r="X119" s="23" t="n">
        <x:v>40</x:v>
      </x:c>
      <x:c r="Y119" s="25" t="n">
        <x:v>27.3</x:v>
      </x:c>
      <x:c r="Z119" s="23" t="str">
        <x:v>benchmark/preprocessing_training/dim_600/gaussian/msms_pos/seed_41/mps/results/metrics.json</x:v>
      </x:c>
    </x:row>
    <x:row r="120">
      <x:c r="A120" s="23" t="str">
        <x:v>gaussian</x:v>
      </x:c>
      <x:c r="B120" s="23" t="str">
        <x:v>msms_pos</x:v>
      </x:c>
      <x:c r="C120" s="23" t="str">
        <x:v>ttn</x:v>
      </x:c>
      <x:c r="D120" s="23" t="n">
        <x:v>41</x:v>
      </x:c>
      <x:c r="E120" s="23" t="n">
        <x:v>600</x:v>
      </x:c>
      <x:c r="F120" s="23"/>
      <x:c r="G120" s="23"/>
      <x:c r="H120" s="23"/>
      <x:c r="I120" s="24" t="n">
        <x:v>0.6396918976372</x:v>
      </x:c>
      <x:c r="J120" s="24" t="n">
        <x:v>0.14554416502891568</x:v>
      </x:c>
      <x:c r="K120" s="24" t="n">
        <x:v>0.39261803133305784</x:v>
      </x:c>
      <x:c r="L120" s="24" t="n">
        <x:v>0.402237</x:v>
      </x:c>
      <x:c r="M120" s="24" t="n">
        <x:v>0.6389565924293019</x:v>
      </x:c>
      <x:c r="N120" s="24" t="n">
        <x:v>0.14453143042791813</x:v>
      </x:c>
      <x:c r="O120" s="24" t="n">
        <x:v>0.39174401142861004</x:v>
      </x:c>
      <x:c r="P120" s="24" t="n">
        <x:v>0.402983</x:v>
      </x:c>
      <x:c r="Q120" s="24"/>
      <x:c r="R120" s="24"/>
      <x:c r="S120" s="24" t="n">
        <x:v>0.731368</x:v>
      </x:c>
      <x:c r="T120" s="24"/>
      <x:c r="U120" s="24" t="n">
        <x:v>0.567279</x:v>
      </x:c>
      <x:c r="V120" s="24"/>
      <x:c r="W120" s="23" t="n">
        <x:v>28</x:v>
      </x:c>
      <x:c r="X120" s="23" t="n">
        <x:v>51</x:v>
      </x:c>
      <x:c r="Y120" s="25" t="n">
        <x:v>14.980166666666666</x:v>
      </x:c>
      <x:c r="Z120" s="23" t="str">
        <x:v>benchmark/preprocessing_training/dim_600/gaussian/msms_pos/seed_41/ttn/metrics.json</x:v>
      </x:c>
    </x:row>
    <x:row r="121">
      <x:c r="A121" s="23" t="str">
        <x:v>gaussian</x:v>
      </x:c>
      <x:c r="B121" s="23" t="str">
        <x:v>msms_pos</x:v>
      </x:c>
      <x:c r="C121" s="23" t="str">
        <x:v>xgboost</x:v>
      </x:c>
      <x:c r="D121" s="23" t="n">
        <x:v>41</x:v>
      </x:c>
      <x:c r="E121" s="23" t="n">
        <x:v>600</x:v>
      </x:c>
      <x:c r="F121" s="23" t="n">
        <x:v>635496</x:v>
      </x:c>
      <x:c r="G121" s="23" t="n">
        <x:v>79450</x:v>
      </x:c>
      <x:c r="H121" s="23" t="n">
        <x:v>79457</x:v>
      </x:c>
      <x:c r="I121" s="24" t="n">
        <x:v>0.6406666940350589</x:v>
      </x:c>
      <x:c r="J121" s="24" t="n">
        <x:v>0.1084261476516143</x:v>
      </x:c>
      <x:c r="K121" s="24" t="n">
        <x:v>0.3745464208433366</x:v>
      </x:c>
      <x:c r="L121" s="24"/>
      <x:c r="M121" s="24" t="n">
        <x:v>0.6395892383742161</x:v>
      </x:c>
      <x:c r="N121" s="24" t="n">
        <x:v>0.10882370864656328</x:v>
      </x:c>
      <x:c r="O121" s="24" t="n">
        <x:v>0.3742064735103897</x:v>
      </x:c>
      <x:c r="P121" s="24"/>
      <x:c r="Q121" s="24"/>
      <x:c r="R121" s="24"/>
      <x:c r="S121" s="24"/>
      <x:c r="T121" s="24"/>
      <x:c r="U121" s="24"/>
      <x:c r="V121" s="24"/>
      <x:c r="W121" s="23"/>
      <x:c r="X121" s="23"/>
      <x:c r="Y121" s="25" t="n">
        <x:v>3.4818415629017787</x:v>
      </x:c>
      <x:c r="Z121" s="23" t="str">
        <x:v>benchmark/preprocessing_training/dim_600/gaussian/msms_pos/seed_41/xgboost/pos_msms/original/metrics.json</x:v>
      </x:c>
    </x:row>
    <x:row r="122">
      <x:c r="A122" s="23" t="str">
        <x:v>l2</x:v>
      </x:c>
      <x:c r="B122" s="23" t="str">
        <x:v>cnmr</x:v>
      </x:c>
      <x:c r="C122" s="23" t="str">
        <x:v>cnn</x:v>
      </x:c>
      <x:c r="D122" s="23" t="n">
        <x:v>41</x:v>
      </x:c>
      <x:c r="E122" s="23" t="n">
        <x:v>600</x:v>
      </x:c>
      <x:c r="F122" s="23" t="n">
        <x:v>635496</x:v>
      </x:c>
      <x:c r="G122" s="23" t="n">
        <x:v>79450</x:v>
      </x:c>
      <x:c r="H122" s="23" t="n">
        <x:v>79457</x:v>
      </x:c>
      <x:c r="I122" s="24" t="n">
        <x:v>0.5947567665009915</x:v>
      </x:c>
      <x:c r="J122" s="24" t="n">
        <x:v>0.07336255067428461</x:v>
      </x:c>
      <x:c r="K122" s="24" t="n">
        <x:v>0.3340596585876381</x:v>
      </x:c>
      <x:c r="L122" s="24" t="n">
        <x:v>0.21232923865318298</x:v>
      </x:c>
      <x:c r="M122" s="24" t="n">
        <x:v>0.5947737137468033</x:v>
      </x:c>
      <x:c r="N122" s="24" t="n">
        <x:v>0.07389678285461505</x:v>
      </x:c>
      <x:c r="O122" s="24" t="n">
        <x:v>0.3343352483007092</x:v>
      </x:c>
      <x:c r="P122" s="24"/>
      <x:c r="Q122" s="24"/>
      <x:c r="R122" s="24"/>
      <x:c r="S122" s="24"/>
      <x:c r="T122" s="24"/>
      <x:c r="U122" s="24"/>
      <x:c r="V122" s="24"/>
      <x:c r="W122" s="23" t="n">
        <x:v>10</x:v>
      </x:c>
      <x:c r="X122" s="23" t="n">
        <x:v>35</x:v>
      </x:c>
      <x:c r="Y122" s="25" t="n">
        <x:v>25.413645542333445</x:v>
      </x:c>
      <x:c r="Z122" s="23" t="str">
        <x:v>benchmark/preprocessing_training/dim_600/l2/cnmr/seed_41/cnn/cnmr/original/metrics.json</x:v>
      </x:c>
    </x:row>
    <x:row r="123">
      <x:c r="A123" s="23" t="str">
        <x:v>l2</x:v>
      </x:c>
      <x:c r="B123" s="23" t="str">
        <x:v>cnmr</x:v>
      </x:c>
      <x:c r="C123" s="23" t="str">
        <x:v>mps</x:v>
      </x:c>
      <x:c r="D123" s="23" t="n">
        <x:v>41</x:v>
      </x:c>
      <x:c r="E123" s="23" t="n">
        <x:v>600</x:v>
      </x:c>
      <x:c r="F123" s="23"/>
      <x:c r="G123" s="23"/>
      <x:c r="H123" s="23"/>
      <x:c r="I123" s="24" t="n">
        <x:v>0.6763</x:v>
      </x:c>
      <x:c r="J123" s="24" t="n">
        <x:v>0.3548</x:v>
      </x:c>
      <x:c r="K123" s="24" t="n">
        <x:v>0.51555</x:v>
      </x:c>
      <x:c r="L123" s="24" t="n">
        <x:v>10.4482</x:v>
      </x:c>
      <x:c r="M123" s="24" t="n">
        <x:v>0.676735762335251</x:v>
      </x:c>
      <x:c r="N123" s="24" t="n">
        <x:v>0.34599110083639323</x:v>
      </x:c>
      <x:c r="O123" s="24" t="n">
        <x:v>0.5113634315858221</x:v>
      </x:c>
      <x:c r="P123" s="24" t="n">
        <x:v>10.819</x:v>
      </x:c>
      <x:c r="Q123" s="24" t="n">
        <x:v>0.0466</x:v>
      </x:c>
      <x:c r="R123" s="24" t="n">
        <x:v>0.7043</x:v>
      </x:c>
      <x:c r="S123" s="24" t="n">
        <x:v>0.6292</x:v>
      </x:c>
      <x:c r="T123" s="24" t="n">
        <x:v>0.3232</x:v>
      </x:c>
      <x:c r="U123" s="24" t="n">
        <x:v>0.732</x:v>
      </x:c>
      <x:c r="V123" s="24" t="n">
        <x:v>0.3846</x:v>
      </x:c>
      <x:c r="W123" s="23" t="n">
        <x:v>174</x:v>
      </x:c>
      <x:c r="X123" s="23" t="n">
        <x:v>184</x:v>
      </x:c>
      <x:c r="Y123" s="25" t="n">
        <x:v>262.6</x:v>
      </x:c>
      <x:c r="Z123" s="23" t="str">
        <x:v>benchmark/preprocessing_training/dim_600/l2/cnmr/seed_41/mps/results/metrics.json</x:v>
      </x:c>
    </x:row>
    <x:row r="124">
      <x:c r="A124" s="23" t="str">
        <x:v>l2</x:v>
      </x:c>
      <x:c r="B124" s="23" t="str">
        <x:v>cnmr</x:v>
      </x:c>
      <x:c r="C124" s="23" t="str">
        <x:v>ttn</x:v>
      </x:c>
      <x:c r="D124" s="23" t="n">
        <x:v>41</x:v>
      </x:c>
      <x:c r="E124" s="23" t="n">
        <x:v>600</x:v>
      </x:c>
      <x:c r="F124" s="23"/>
      <x:c r="G124" s="23"/>
      <x:c r="H124" s="23"/>
      <x:c r="I124" s="24" t="n">
        <x:v>0.714238031159984</x:v>
      </x:c>
      <x:c r="J124" s="24" t="n">
        <x:v>0.34150670618569334</x:v>
      </x:c>
      <x:c r="K124" s="24" t="n">
        <x:v>0.5278723686728386</x:v>
      </x:c>
      <x:c r="L124" s="24" t="n">
        <x:v>0.337173</x:v>
      </x:c>
      <x:c r="M124" s="24" t="n">
        <x:v>0.7153224831703356</x:v>
      </x:c>
      <x:c r="N124" s="24" t="n">
        <x:v>0.3329974575679862</x:v>
      </x:c>
      <x:c r="O124" s="24" t="n">
        <x:v>0.524159970369161</x:v>
      </x:c>
      <x:c r="P124" s="24" t="n">
        <x:v>0.337323</x:v>
      </x:c>
      <x:c r="Q124" s="24"/>
      <x:c r="R124" s="24"/>
      <x:c r="S124" s="24" t="n">
        <x:v>0.713558</x:v>
      </x:c>
      <x:c r="T124" s="24"/>
      <x:c r="U124" s="24" t="n">
        <x:v>0.717096</x:v>
      </x:c>
      <x:c r="V124" s="24"/>
      <x:c r="W124" s="23" t="n">
        <x:v>49</x:v>
      </x:c>
      <x:c r="X124" s="23" t="n">
        <x:v>69</x:v>
      </x:c>
      <x:c r="Y124" s="25" t="n">
        <x:v>19.630666666666666</x:v>
      </x:c>
      <x:c r="Z124" s="23" t="str">
        <x:v>benchmark/preprocessing_training/dim_600/l2/cnmr/seed_41/ttn/metrics.json</x:v>
      </x:c>
    </x:row>
    <x:row r="125">
      <x:c r="A125" s="23" t="str">
        <x:v>l2</x:v>
      </x:c>
      <x:c r="B125" s="23" t="str">
        <x:v>cnmr</x:v>
      </x:c>
      <x:c r="C125" s="23" t="str">
        <x:v>xgboost</x:v>
      </x:c>
      <x:c r="D125" s="23" t="n">
        <x:v>41</x:v>
      </x:c>
      <x:c r="E125" s="23" t="n">
        <x:v>600</x:v>
      </x:c>
      <x:c r="F125" s="23" t="n">
        <x:v>635496</x:v>
      </x:c>
      <x:c r="G125" s="23" t="n">
        <x:v>79450</x:v>
      </x:c>
      <x:c r="H125" s="23" t="n">
        <x:v>79457</x:v>
      </x:c>
      <x:c r="I125" s="24" t="n">
        <x:v>0.7734096096447591</x:v>
      </x:c>
      <x:c r="J125" s="24" t="n">
        <x:v>0.35746118455073256</x:v>
      </x:c>
      <x:c r="K125" s="24" t="n">
        <x:v>0.5654353970977458</x:v>
      </x:c>
      <x:c r="L125" s="24"/>
      <x:c r="M125" s="24" t="n">
        <x:v>0.7735554170215382</x:v>
      </x:c>
      <x:c r="N125" s="24" t="n">
        <x:v>0.34911303867075105</x:v>
      </x:c>
      <x:c r="O125" s="24" t="n">
        <x:v>0.5613342278461446</x:v>
      </x:c>
      <x:c r="P125" s="24"/>
      <x:c r="Q125" s="24"/>
      <x:c r="R125" s="24"/>
      <x:c r="S125" s="24"/>
      <x:c r="T125" s="24"/>
      <x:c r="U125" s="24"/>
      <x:c r="V125" s="24"/>
      <x:c r="W125" s="23"/>
      <x:c r="X125" s="23"/>
      <x:c r="Y125" s="25" t="n">
        <x:v>5.255558223484938</x:v>
      </x:c>
      <x:c r="Z125" s="23" t="str">
        <x:v>benchmark/preprocessing_training/dim_600/l2/cnmr/seed_41/xgboost/cnmr/original/metrics.json</x:v>
      </x:c>
    </x:row>
    <x:row r="126">
      <x:c r="A126" s="23" t="str">
        <x:v>l2</x:v>
      </x:c>
      <x:c r="B126" s="23" t="str">
        <x:v>hnmr</x:v>
      </x:c>
      <x:c r="C126" s="23" t="str">
        <x:v>cnn</x:v>
      </x:c>
      <x:c r="D126" s="23" t="n">
        <x:v>41</x:v>
      </x:c>
      <x:c r="E126" s="23" t="n">
        <x:v>600</x:v>
      </x:c>
      <x:c r="F126" s="23" t="n">
        <x:v>635496</x:v>
      </x:c>
      <x:c r="G126" s="23" t="n">
        <x:v>79450</x:v>
      </x:c>
      <x:c r="H126" s="23" t="n">
        <x:v>79457</x:v>
      </x:c>
      <x:c r="I126" s="24" t="n">
        <x:v>0.677473289812725</x:v>
      </x:c>
      <x:c r="J126" s="24" t="n">
        <x:v>0.17426812070340308</x:v>
      </x:c>
      <x:c r="K126" s="24" t="n">
        <x:v>0.42587070525806403</x:v>
      </x:c>
      <x:c r="L126" s="24" t="n">
        <x:v>0.2712303102016449</x:v>
      </x:c>
      <x:c r="M126" s="24" t="n">
        <x:v>0.6775905971716707</x:v>
      </x:c>
      <x:c r="N126" s="24" t="n">
        <x:v>0.1756482070771387</x:v>
      </x:c>
      <x:c r="O126" s="24" t="n">
        <x:v>0.4266194021244047</x:v>
      </x:c>
      <x:c r="P126" s="24"/>
      <x:c r="Q126" s="24"/>
      <x:c r="R126" s="24"/>
      <x:c r="S126" s="24"/>
      <x:c r="T126" s="24"/>
      <x:c r="U126" s="24"/>
      <x:c r="V126" s="24"/>
      <x:c r="W126" s="23" t="n">
        <x:v>23</x:v>
      </x:c>
      <x:c r="X126" s="23" t="n">
        <x:v>26</x:v>
      </x:c>
      <x:c r="Y126" s="25" t="n">
        <x:v>18.673417530300018</x:v>
      </x:c>
      <x:c r="Z126" s="23" t="str">
        <x:v>benchmark/preprocessing_training/dim_600/l2/hnmr/seed_41/cnn/hnmr/original/metrics.json</x:v>
      </x:c>
    </x:row>
    <x:row r="127">
      <x:c r="A127" s="23" t="str">
        <x:v>l2</x:v>
      </x:c>
      <x:c r="B127" s="23" t="str">
        <x:v>hnmr</x:v>
      </x:c>
      <x:c r="C127" s="23" t="str">
        <x:v>mps</x:v>
      </x:c>
      <x:c r="D127" s="23" t="n">
        <x:v>41</x:v>
      </x:c>
      <x:c r="E127" s="23" t="n">
        <x:v>600</x:v>
      </x:c>
      <x:c r="F127" s="23"/>
      <x:c r="G127" s="23"/>
      <x:c r="H127" s="23"/>
      <x:c r="I127" s="24" t="n">
        <x:v>0.7017</x:v>
      </x:c>
      <x:c r="J127" s="24" t="n">
        <x:v>0.3741</x:v>
      </x:c>
      <x:c r="K127" s="24" t="n">
        <x:v>0.5379</x:v>
      </x:c>
      <x:c r="L127" s="24" t="n">
        <x:v>10.2251</x:v>
      </x:c>
      <x:c r="M127" s="24" t="n">
        <x:v>0.7009996144844801</x:v>
      </x:c>
      <x:c r="N127" s="24" t="n">
        <x:v>0.3632982326187527</x:v>
      </x:c>
      <x:c r="O127" s="24" t="n">
        <x:v>0.5321489235516164</x:v>
      </x:c>
      <x:c r="P127" s="24" t="n">
        <x:v>10.085</x:v>
      </x:c>
      <x:c r="Q127" s="24" t="n">
        <x:v>0.0779</x:v>
      </x:c>
      <x:c r="R127" s="24" t="n">
        <x:v>0.707</x:v>
      </x:c>
      <x:c r="S127" s="24" t="n">
        <x:v>0.691</x:v>
      </x:c>
      <x:c r="T127" s="24" t="n">
        <x:v>0.3885</x:v>
      </x:c>
      <x:c r="U127" s="24" t="n">
        <x:v>0.7113</x:v>
      </x:c>
      <x:c r="V127" s="24" t="n">
        <x:v>0.3518</x:v>
      </x:c>
      <x:c r="W127" s="23" t="n">
        <x:v>167</x:v>
      </x:c>
      <x:c r="X127" s="23" t="n">
        <x:v>167</x:v>
      </x:c>
      <x:c r="Y127" s="25" t="n">
        <x:v>109.3</x:v>
      </x:c>
      <x:c r="Z127" s="23" t="str">
        <x:v>benchmark/preprocessing_training/dim_600/l2/hnmr/seed_41/mps/results/metrics.json</x:v>
      </x:c>
    </x:row>
    <x:row r="128">
      <x:c r="A128" s="23" t="str">
        <x:v>l2</x:v>
      </x:c>
      <x:c r="B128" s="23" t="str">
        <x:v>hnmr</x:v>
      </x:c>
      <x:c r="C128" s="23" t="str">
        <x:v>ttn</x:v>
      </x:c>
      <x:c r="D128" s="23" t="n">
        <x:v>41</x:v>
      </x:c>
      <x:c r="E128" s="23" t="n">
        <x:v>600</x:v>
      </x:c>
      <x:c r="F128" s="23"/>
      <x:c r="G128" s="23"/>
      <x:c r="H128" s="23"/>
      <x:c r="I128" s="24" t="n">
        <x:v>0.6898022920361009</x:v>
      </x:c>
      <x:c r="J128" s="24" t="n">
        <x:v>0.30577457048226453</x:v>
      </x:c>
      <x:c r="K128" s="24" t="n">
        <x:v>0.4977884312591827</x:v>
      </x:c>
      <x:c r="L128" s="24" t="n">
        <x:v>0.383208</x:v>
      </x:c>
      <x:c r="M128" s="24" t="n">
        <x:v>0.6897198536434371</x:v>
      </x:c>
      <x:c r="N128" s="24" t="n">
        <x:v>0.2982934058767152</x:v>
      </x:c>
      <x:c r="O128" s="24" t="n">
        <x:v>0.49400662976007614</x:v>
      </x:c>
      <x:c r="P128" s="24" t="n">
        <x:v>0.383967</x:v>
      </x:c>
      <x:c r="Q128" s="24"/>
      <x:c r="R128" s="24"/>
      <x:c r="S128" s="24" t="n">
        <x:v>0.692755</x:v>
      </x:c>
      <x:c r="T128" s="24"/>
      <x:c r="U128" s="24" t="n">
        <x:v>0.686711</x:v>
      </x:c>
      <x:c r="V128" s="24"/>
      <x:c r="W128" s="23" t="n">
        <x:v>69</x:v>
      </x:c>
      <x:c r="X128" s="23" t="n">
        <x:v>78</x:v>
      </x:c>
      <x:c r="Y128" s="25" t="n">
        <x:v>22.209999999999997</x:v>
      </x:c>
      <x:c r="Z128" s="23" t="str">
        <x:v>benchmark/preprocessing_training/dim_600/l2/hnmr/seed_41/ttn/metrics.json</x:v>
      </x:c>
    </x:row>
    <x:row r="129">
      <x:c r="A129" s="23" t="str">
        <x:v>l2</x:v>
      </x:c>
      <x:c r="B129" s="23" t="str">
        <x:v>hnmr</x:v>
      </x:c>
      <x:c r="C129" s="23" t="str">
        <x:v>xgboost</x:v>
      </x:c>
      <x:c r="D129" s="23" t="n">
        <x:v>41</x:v>
      </x:c>
      <x:c r="E129" s="23" t="n">
        <x:v>600</x:v>
      </x:c>
      <x:c r="F129" s="23" t="n">
        <x:v>635496</x:v>
      </x:c>
      <x:c r="G129" s="23" t="n">
        <x:v>79450</x:v>
      </x:c>
      <x:c r="H129" s="23" t="n">
        <x:v>79457</x:v>
      </x:c>
      <x:c r="I129" s="24" t="n">
        <x:v>0.7480818048284433</x:v>
      </x:c>
      <x:c r="J129" s="24" t="n">
        <x:v>0.3215084418423273</x:v>
      </x:c>
      <x:c r="K129" s="24" t="n">
        <x:v>0.5347951233353854</x:v>
      </x:c>
      <x:c r="L129" s="24"/>
      <x:c r="M129" s="24" t="n">
        <x:v>0.7484016626928027</x:v>
      </x:c>
      <x:c r="N129" s="24" t="n">
        <x:v>0.30962999521424556</x:v>
      </x:c>
      <x:c r="O129" s="24" t="n">
        <x:v>0.5290158289535242</x:v>
      </x:c>
      <x:c r="P129" s="24"/>
      <x:c r="Q129" s="24"/>
      <x:c r="R129" s="24"/>
      <x:c r="S129" s="24"/>
      <x:c r="T129" s="24"/>
      <x:c r="U129" s="24"/>
      <x:c r="V129" s="24"/>
      <x:c r="W129" s="23"/>
      <x:c r="X129" s="23"/>
      <x:c r="Y129" s="25" t="n">
        <x:v>5.260260026201528</x:v>
      </x:c>
      <x:c r="Z129" s="23" t="str">
        <x:v>benchmark/preprocessing_training/dim_600/l2/hnmr/seed_41/xgboost/hnmr/original/metrics.json</x:v>
      </x:c>
    </x:row>
    <x:row r="130">
      <x:c r="A130" s="23" t="str">
        <x:v>l2</x:v>
      </x:c>
      <x:c r="B130" s="23" t="str">
        <x:v>ir</x:v>
      </x:c>
      <x:c r="C130" s="23" t="str">
        <x:v>cnn</x:v>
      </x:c>
      <x:c r="D130" s="23" t="n">
        <x:v>41</x:v>
      </x:c>
      <x:c r="E130" s="23" t="n">
        <x:v>600</x:v>
      </x:c>
      <x:c r="F130" s="23" t="n">
        <x:v>635496</x:v>
      </x:c>
      <x:c r="G130" s="23" t="n">
        <x:v>79450</x:v>
      </x:c>
      <x:c r="H130" s="23" t="n">
        <x:v>79457</x:v>
      </x:c>
      <x:c r="I130" s="24" t="n">
        <x:v>0.8919854127862498</x:v>
      </x:c>
      <x:c r="J130" s="24" t="n">
        <x:v>0.669506108586714</x:v>
      </x:c>
      <x:c r="K130" s="24" t="n">
        <x:v>0.7807457606864818</x:v>
      </x:c>
      <x:c r="L130" s="24" t="n">
        <x:v>0.07654821127653122</x:v>
      </x:c>
      <x:c r="M130" s="24" t="n">
        <x:v>0.8922887673788298</x:v>
      </x:c>
      <x:c r="N130" s="24" t="n">
        <x:v>0.6750936309480564</x:v>
      </x:c>
      <x:c r="O130" s="24" t="n">
        <x:v>0.7836911991634431</x:v>
      </x:c>
      <x:c r="P130" s="24"/>
      <x:c r="Q130" s="24"/>
      <x:c r="R130" s="24"/>
      <x:c r="S130" s="24"/>
      <x:c r="T130" s="24"/>
      <x:c r="U130" s="24"/>
      <x:c r="V130" s="24"/>
      <x:c r="W130" s="23" t="n">
        <x:v>45</x:v>
      </x:c>
      <x:c r="X130" s="23" t="n">
        <x:v>55</x:v>
      </x:c>
      <x:c r="Y130" s="25" t="n">
        <x:v>39.08808464188284</x:v>
      </x:c>
      <x:c r="Z130" s="23" t="str">
        <x:v>benchmark/preprocessing_training/dim_600/l2/ir/seed_41/cnn/ir/original/metrics.json</x:v>
      </x:c>
    </x:row>
    <x:row r="131">
      <x:c r="A131" s="23" t="str">
        <x:v>l2</x:v>
      </x:c>
      <x:c r="B131" s="23" t="str">
        <x:v>ir</x:v>
      </x:c>
      <x:c r="C131" s="23" t="str">
        <x:v>mps</x:v>
      </x:c>
      <x:c r="D131" s="23" t="n">
        <x:v>41</x:v>
      </x:c>
      <x:c r="E131" s="23" t="n">
        <x:v>600</x:v>
      </x:c>
      <x:c r="F131" s="23"/>
      <x:c r="G131" s="23"/>
      <x:c r="H131" s="23"/>
      <x:c r="I131" s="24" t="n">
        <x:v>0.8437</x:v>
      </x:c>
      <x:c r="J131" s="24" t="n">
        <x:v>0.6752</x:v>
      </x:c>
      <x:c r="K131" s="24" t="n">
        <x:v>0.75945</x:v>
      </x:c>
      <x:c r="L131" s="24" t="n">
        <x:v>4.0079</x:v>
      </x:c>
      <x:c r="M131" s="24" t="n">
        <x:v>0.8438813769624935</x:v>
      </x:c>
      <x:c r="N131" s="24" t="n">
        <x:v>0.6771603257879429</x:v>
      </x:c>
      <x:c r="O131" s="24" t="n">
        <x:v>0.7605208513752182</x:v>
      </x:c>
      <x:c r="P131" s="24" t="n">
        <x:v>3.787</x:v>
      </x:c>
      <x:c r="Q131" s="24" t="n">
        <x:v>0.2609</x:v>
      </x:c>
      <x:c r="R131" s="24" t="n">
        <x:v>0.8435</x:v>
      </x:c>
      <x:c r="S131" s="24" t="n">
        <x:v>0.8676</x:v>
      </x:c>
      <x:c r="T131" s="24" t="n">
        <x:v>0.7451</x:v>
      </x:c>
      <x:c r="U131" s="24" t="n">
        <x:v>0.8214</x:v>
      </x:c>
      <x:c r="V131" s="24" t="n">
        <x:v>0.6444</x:v>
      </x:c>
      <x:c r="W131" s="23" t="n">
        <x:v>167</x:v>
      </x:c>
      <x:c r="X131" s="23" t="n">
        <x:v>172</x:v>
      </x:c>
      <x:c r="Y131" s="25" t="n">
        <x:v>112.3</x:v>
      </x:c>
      <x:c r="Z131" s="23" t="str">
        <x:v>benchmark/preprocessing_training/dim_600/l2/ir/seed_41/mps/results/metrics.json</x:v>
      </x:c>
    </x:row>
    <x:row r="132">
      <x:c r="A132" s="23" t="str">
        <x:v>l2</x:v>
      </x:c>
      <x:c r="B132" s="23" t="str">
        <x:v>ir</x:v>
      </x:c>
      <x:c r="C132" s="23" t="str">
        <x:v>ttn</x:v>
      </x:c>
      <x:c r="D132" s="23" t="n">
        <x:v>41</x:v>
      </x:c>
      <x:c r="E132" s="23" t="n">
        <x:v>600</x:v>
      </x:c>
      <x:c r="F132" s="23"/>
      <x:c r="G132" s="23"/>
      <x:c r="H132" s="23"/>
      <x:c r="I132" s="24" t="n">
        <x:v>0.8275491190537266</x:v>
      </x:c>
      <x:c r="J132" s="24" t="n">
        <x:v>0.6160668294331129</x:v>
      </x:c>
      <x:c r="K132" s="24" t="n">
        <x:v>0.7218079742434198</x:v>
      </x:c>
      <x:c r="L132" s="24" t="n">
        <x:v>0.183633</x:v>
      </x:c>
      <x:c r="M132" s="24" t="n">
        <x:v>0.8279419538119827</x:v>
      </x:c>
      <x:c r="N132" s="24" t="n">
        <x:v>0.5852806400596903</x:v>
      </x:c>
      <x:c r="O132" s="24" t="n">
        <x:v>0.7066112969358365</x:v>
      </x:c>
      <x:c r="P132" s="24" t="n">
        <x:v>0.183098</x:v>
      </x:c>
      <x:c r="Q132" s="24"/>
      <x:c r="R132" s="24"/>
      <x:c r="S132" s="24" t="n">
        <x:v>0.818559</x:v>
      </x:c>
      <x:c r="T132" s="24"/>
      <x:c r="U132" s="24" t="n">
        <x:v>0.837542</x:v>
      </x:c>
      <x:c r="V132" s="24"/>
      <x:c r="W132" s="23" t="n">
        <x:v>29</x:v>
      </x:c>
      <x:c r="X132" s="23" t="n">
        <x:v>83</x:v>
      </x:c>
      <x:c r="Y132" s="25" t="n">
        <x:v>24.04733333333333</x:v>
      </x:c>
      <x:c r="Z132" s="23" t="str">
        <x:v>benchmark/preprocessing_training/dim_600/l2/ir/seed_41/ttn/metrics.json</x:v>
      </x:c>
    </x:row>
    <x:row r="133">
      <x:c r="A133" s="23" t="str">
        <x:v>l2</x:v>
      </x:c>
      <x:c r="B133" s="23" t="str">
        <x:v>ir</x:v>
      </x:c>
      <x:c r="C133" s="23" t="str">
        <x:v>xgboost</x:v>
      </x:c>
      <x:c r="D133" s="23" t="n">
        <x:v>41</x:v>
      </x:c>
      <x:c r="E133" s="23" t="n">
        <x:v>600</x:v>
      </x:c>
      <x:c r="F133" s="23" t="n">
        <x:v>635496</x:v>
      </x:c>
      <x:c r="G133" s="23" t="n">
        <x:v>79450</x:v>
      </x:c>
      <x:c r="H133" s="23" t="n">
        <x:v>79457</x:v>
      </x:c>
      <x:c r="I133" s="24" t="n">
        <x:v>0.8396345512627834</x:v>
      </x:c>
      <x:c r="J133" s="24" t="n">
        <x:v>0.5570170469963897</x:v>
      </x:c>
      <x:c r="K133" s="24" t="n">
        <x:v>0.6983257991295866</x:v>
      </x:c>
      <x:c r="L133" s="24"/>
      <x:c r="M133" s="24" t="n">
        <x:v>0.8405948277670188</x:v>
      </x:c>
      <x:c r="N133" s="24" t="n">
        <x:v>0.5513275614454761</x:v>
      </x:c>
      <x:c r="O133" s="24" t="n">
        <x:v>0.6959611946062474</x:v>
      </x:c>
      <x:c r="P133" s="24"/>
      <x:c r="Q133" s="24"/>
      <x:c r="R133" s="24"/>
      <x:c r="S133" s="24"/>
      <x:c r="T133" s="24"/>
      <x:c r="U133" s="24"/>
      <x:c r="V133" s="24"/>
      <x:c r="W133" s="23"/>
      <x:c r="X133" s="23"/>
      <x:c r="Y133" s="25" t="n">
        <x:v>5.847090419583643</x:v>
      </x:c>
      <x:c r="Z133" s="23" t="str">
        <x:v>benchmark/preprocessing_training/dim_600/l2/ir/seed_41/xgboost/ir/original/metrics.json</x:v>
      </x:c>
    </x:row>
    <x:row r="134">
      <x:c r="A134" s="23" t="str">
        <x:v>l2</x:v>
      </x:c>
      <x:c r="B134" s="23" t="str">
        <x:v>msms_neg</x:v>
      </x:c>
      <x:c r="C134" s="23" t="str">
        <x:v>cnn</x:v>
      </x:c>
      <x:c r="D134" s="23" t="n">
        <x:v>41</x:v>
      </x:c>
      <x:c r="E134" s="23" t="n">
        <x:v>600</x:v>
      </x:c>
      <x:c r="F134" s="23" t="n">
        <x:v>635496</x:v>
      </x:c>
      <x:c r="G134" s="23" t="n">
        <x:v>79450</x:v>
      </x:c>
      <x:c r="H134" s="23" t="n">
        <x:v>79457</x:v>
      </x:c>
      <x:c r="I134" s="24" t="n">
        <x:v>0.6411839019337229</x:v>
      </x:c>
      <x:c r="J134" s="24" t="n">
        <x:v>0.11267109474109543</x:v>
      </x:c>
      <x:c r="K134" s="24" t="n">
        <x:v>0.37692749833740913</x:v>
      </x:c>
      <x:c r="L134" s="24" t="n">
        <x:v>0.23215657472610474</x:v>
      </x:c>
      <x:c r="M134" s="24" t="n">
        <x:v>0.6413840072933114</x:v>
      </x:c>
      <x:c r="N134" s="24" t="n">
        <x:v>0.11297635300604206</x:v>
      </x:c>
      <x:c r="O134" s="24" t="n">
        <x:v>0.3771801801496767</x:v>
      </x:c>
      <x:c r="P134" s="24"/>
      <x:c r="Q134" s="24"/>
      <x:c r="R134" s="24"/>
      <x:c r="S134" s="24"/>
      <x:c r="T134" s="24"/>
      <x:c r="U134" s="24"/>
      <x:c r="V134" s="24"/>
      <x:c r="W134" s="23" t="n">
        <x:v>29</x:v>
      </x:c>
      <x:c r="X134" s="23" t="n">
        <x:v>33</x:v>
      </x:c>
      <x:c r="Y134" s="25" t="n">
        <x:v>23.534944109799106</x:v>
      </x:c>
      <x:c r="Z134" s="23" t="str">
        <x:v>benchmark/preprocessing_training/dim_600/l2/msms_neg/seed_41/cnn/neg_msms/original/metrics.json</x:v>
      </x:c>
    </x:row>
    <x:row r="135">
      <x:c r="A135" s="23" t="str">
        <x:v>l2</x:v>
      </x:c>
      <x:c r="B135" s="23" t="str">
        <x:v>msms_neg</x:v>
      </x:c>
      <x:c r="C135" s="23" t="str">
        <x:v>mps</x:v>
      </x:c>
      <x:c r="D135" s="23" t="n">
        <x:v>41</x:v>
      </x:c>
      <x:c r="E135" s="23" t="n">
        <x:v>600</x:v>
      </x:c>
      <x:c r="F135" s="23"/>
      <x:c r="G135" s="23"/>
      <x:c r="H135" s="23"/>
      <x:c r="I135" s="24" t="n">
        <x:v>0.2851</x:v>
      </x:c>
      <x:c r="J135" s="24" t="n">
        <x:v>0.1742</x:v>
      </x:c>
      <x:c r="K135" s="24" t="n">
        <x:v>0.22965000000000002</x:v>
      </x:c>
      <x:c r="L135" s="24" t="n">
        <x:v>1.25</x:v>
      </x:c>
      <x:c r="M135" s="24" t="n">
        <x:v>0.2841817711304054</x:v>
      </x:c>
      <x:c r="N135" s="24" t="n">
        <x:v>0.17394066486976312</x:v>
      </x:c>
      <x:c r="O135" s="24" t="n">
        <x:v>0.22906121800008425</x:v>
      </x:c>
      <x:c r="P135" s="24" t="n">
        <x:v>1.4685</x:v>
      </x:c>
      <x:c r="Q135" s="24" t="n">
        <x:v>0</x:v>
      </x:c>
      <x:c r="R135" s="24" t="n">
        <x:v>0.5398</x:v>
      </x:c>
      <x:c r="S135" s="24" t="n">
        <x:v>0.1896</x:v>
      </x:c>
      <x:c r="T135" s="24" t="n">
        <x:v>0.1583</x:v>
      </x:c>
      <x:c r="U135" s="24" t="n">
        <x:v>0.567</x:v>
      </x:c>
      <x:c r="V135" s="24" t="n">
        <x:v>0.5613</x:v>
      </x:c>
      <x:c r="W135" s="23" t="n">
        <x:v>20</x:v>
      </x:c>
      <x:c r="X135" s="23" t="n">
        <x:v>40</x:v>
      </x:c>
      <x:c r="Y135" s="25" t="n">
        <x:v>27.3</x:v>
      </x:c>
      <x:c r="Z135" s="23" t="str">
        <x:v>benchmark/preprocessing_training/dim_600/l2/msms_neg/seed_41/mps/results/metrics.json</x:v>
      </x:c>
    </x:row>
    <x:row r="136">
      <x:c r="A136" s="23" t="str">
        <x:v>l2</x:v>
      </x:c>
      <x:c r="B136" s="23" t="str">
        <x:v>msms_neg</x:v>
      </x:c>
      <x:c r="C136" s="23" t="str">
        <x:v>ttn</x:v>
      </x:c>
      <x:c r="D136" s="23" t="n">
        <x:v>41</x:v>
      </x:c>
      <x:c r="E136" s="23" t="n">
        <x:v>600</x:v>
      </x:c>
      <x:c r="F136" s="23"/>
      <x:c r="G136" s="23"/>
      <x:c r="H136" s="23"/>
      <x:c r="I136" s="24" t="n">
        <x:v>0.6421063692538507</x:v>
      </x:c>
      <x:c r="J136" s="24" t="n">
        <x:v>0.14888975443183156</x:v>
      </x:c>
      <x:c r="K136" s="24" t="n">
        <x:v>0.3954980618428411</x:v>
      </x:c>
      <x:c r="L136" s="24" t="n">
        <x:v>0.401351</x:v>
      </x:c>
      <x:c r="M136" s="24" t="n">
        <x:v>0.6422008974317803</x:v>
      </x:c>
      <x:c r="N136" s="24" t="n">
        <x:v>0.14806204437592538</x:v>
      </x:c>
      <x:c r="O136" s="24" t="n">
        <x:v>0.39513147090385287</x:v>
      </x:c>
      <x:c r="P136" s="24" t="n">
        <x:v>0.401916</x:v>
      </x:c>
      <x:c r="Q136" s="24"/>
      <x:c r="R136" s="24"/>
      <x:c r="S136" s="24" t="n">
        <x:v>0.720216</x:v>
      </x:c>
      <x:c r="T136" s="24"/>
      <x:c r="U136" s="24" t="n">
        <x:v>0.579435</x:v>
      </x:c>
      <x:c r="V136" s="24"/>
      <x:c r="W136" s="23" t="n">
        <x:v>39</x:v>
      </x:c>
      <x:c r="X136" s="23" t="n">
        <x:v>59</x:v>
      </x:c>
      <x:c r="Y136" s="25" t="n">
        <x:v>16.685</x:v>
      </x:c>
      <x:c r="Z136" s="23" t="str">
        <x:v>benchmark/preprocessing_training/dim_600/l2/msms_neg/seed_41/ttn/metrics.json</x:v>
      </x:c>
    </x:row>
    <x:row r="137">
      <x:c r="A137" s="23" t="str">
        <x:v>l2</x:v>
      </x:c>
      <x:c r="B137" s="23" t="str">
        <x:v>msms_neg</x:v>
      </x:c>
      <x:c r="C137" s="23" t="str">
        <x:v>xgboost</x:v>
      </x:c>
      <x:c r="D137" s="23" t="n">
        <x:v>41</x:v>
      </x:c>
      <x:c r="E137" s="23" t="n">
        <x:v>600</x:v>
      </x:c>
      <x:c r="F137" s="23" t="n">
        <x:v>635496</x:v>
      </x:c>
      <x:c r="G137" s="23" t="n">
        <x:v>79450</x:v>
      </x:c>
      <x:c r="H137" s="23" t="n">
        <x:v>79457</x:v>
      </x:c>
      <x:c r="I137" s="24" t="n">
        <x:v>0.6236406246732754</x:v>
      </x:c>
      <x:c r="J137" s="24" t="n">
        <x:v>0.10815087691995988</x:v>
      </x:c>
      <x:c r="K137" s="24" t="n">
        <x:v>0.3658957507966176</x:v>
      </x:c>
      <x:c r="L137" s="24"/>
      <x:c r="M137" s="24" t="n">
        <x:v>0.6235371563494375</x:v>
      </x:c>
      <x:c r="N137" s="24" t="n">
        <x:v>0.10807734327655803</x:v>
      </x:c>
      <x:c r="O137" s="24" t="n">
        <x:v>0.3658072498129978</x:v>
      </x:c>
      <x:c r="P137" s="24"/>
      <x:c r="Q137" s="24"/>
      <x:c r="R137" s="24"/>
      <x:c r="S137" s="24"/>
      <x:c r="T137" s="24"/>
      <x:c r="U137" s="24"/>
      <x:c r="V137" s="24"/>
      <x:c r="W137" s="23"/>
      <x:c r="X137" s="23"/>
      <x:c r="Y137" s="25" t="n">
        <x:v>2.3206452235172037</x:v>
      </x:c>
      <x:c r="Z137" s="23" t="str">
        <x:v>benchmark/preprocessing_training/dim_600/l2/msms_neg/seed_41/xgboost/neg_msms/original/metrics.json</x:v>
      </x:c>
    </x:row>
    <x:row r="138">
      <x:c r="A138" s="23" t="str">
        <x:v>l2</x:v>
      </x:c>
      <x:c r="B138" s="23" t="str">
        <x:v>msms_pos</x:v>
      </x:c>
      <x:c r="C138" s="23" t="str">
        <x:v>cnn</x:v>
      </x:c>
      <x:c r="D138" s="23" t="n">
        <x:v>41</x:v>
      </x:c>
      <x:c r="E138" s="23" t="n">
        <x:v>600</x:v>
      </x:c>
      <x:c r="F138" s="23" t="n">
        <x:v>635496</x:v>
      </x:c>
      <x:c r="G138" s="23" t="n">
        <x:v>79450</x:v>
      </x:c>
      <x:c r="H138" s="23" t="n">
        <x:v>79457</x:v>
      </x:c>
      <x:c r="I138" s="24" t="n">
        <x:v>0.6378327792611</x:v>
      </x:c>
      <x:c r="J138" s="24" t="n">
        <x:v>0.10078696977106782</x:v>
      </x:c>
      <x:c r="K138" s="24" t="n">
        <x:v>0.36930987451608394</x:v>
      </x:c>
      <x:c r="L138" s="24" t="n">
        <x:v>0.21685181558132172</x:v>
      </x:c>
      <x:c r="M138" s="24" t="n">
        <x:v>0.6373888085015537</x:v>
      </x:c>
      <x:c r="N138" s="24" t="n">
        <x:v>0.1009607196425562</x:v>
      </x:c>
      <x:c r="O138" s="24" t="n">
        <x:v>0.3691747640720549</x:v>
      </x:c>
      <x:c r="P138" s="24"/>
      <x:c r="Q138" s="24"/>
      <x:c r="R138" s="24"/>
      <x:c r="S138" s="24"/>
      <x:c r="T138" s="24"/>
      <x:c r="U138" s="24"/>
      <x:c r="V138" s="24"/>
      <x:c r="W138" s="23" t="n">
        <x:v>6</x:v>
      </x:c>
      <x:c r="X138" s="23" t="n">
        <x:v>29</x:v>
      </x:c>
      <x:c r="Y138" s="25" t="n">
        <x:v>21.101725773633614</x:v>
      </x:c>
      <x:c r="Z138" s="23" t="str">
        <x:v>benchmark/preprocessing_training/dim_600/l2/msms_pos/seed_41/cnn/pos_msms/original/metrics.json</x:v>
      </x:c>
    </x:row>
    <x:row r="139">
      <x:c r="A139" s="23" t="str">
        <x:v>l2</x:v>
      </x:c>
      <x:c r="B139" s="23" t="str">
        <x:v>msms_pos</x:v>
      </x:c>
      <x:c r="C139" s="23" t="str">
        <x:v>mps</x:v>
      </x:c>
      <x:c r="D139" s="23" t="n">
        <x:v>41</x:v>
      </x:c>
      <x:c r="E139" s="23" t="n">
        <x:v>600</x:v>
      </x:c>
      <x:c r="F139" s="23"/>
      <x:c r="G139" s="23"/>
      <x:c r="H139" s="23"/>
      <x:c r="I139" s="24" t="n">
        <x:v>0.2966</x:v>
      </x:c>
      <x:c r="J139" s="24" t="n">
        <x:v>0.1763</x:v>
      </x:c>
      <x:c r="K139" s="24" t="n">
        <x:v>0.23645</x:v>
      </x:c>
      <x:c r="L139" s="24" t="n">
        <x:v>1.9282</x:v>
      </x:c>
      <x:c r="M139" s="24" t="n">
        <x:v>0.29595755791553735</x:v>
      </x:c>
      <x:c r="N139" s="24" t="n">
        <x:v>0.1762993716294246</x:v>
      </x:c>
      <x:c r="O139" s="24" t="n">
        <x:v>0.23612846477248098</x:v>
      </x:c>
      <x:c r="P139" s="24" t="n">
        <x:v>1.5853</x:v>
      </x:c>
      <x:c r="Q139" s="24" t="n">
        <x:v>0.0001</x:v>
      </x:c>
      <x:c r="R139" s="24" t="n">
        <x:v>0.5447</x:v>
      </x:c>
      <x:c r="S139" s="24" t="n">
        <x:v>0.1986</x:v>
      </x:c>
      <x:c r="T139" s="24" t="n">
        <x:v>0.1591</x:v>
      </x:c>
      <x:c r="U139" s="24" t="n">
        <x:v>0.5807</x:v>
      </x:c>
      <x:c r="V139" s="24" t="n">
        <x:v>0.548</x:v>
      </x:c>
      <x:c r="W139" s="23" t="n">
        <x:v>58</x:v>
      </x:c>
      <x:c r="X139" s="23" t="n">
        <x:v>78</x:v>
      </x:c>
      <x:c r="Y139" s="25" t="n">
        <x:v>53</x:v>
      </x:c>
      <x:c r="Z139" s="23" t="str">
        <x:v>benchmark/preprocessing_training/dim_600/l2/msms_pos/seed_41/mps/results/metrics.json</x:v>
      </x:c>
    </x:row>
    <x:row r="140">
      <x:c r="A140" s="23" t="str">
        <x:v>l2</x:v>
      </x:c>
      <x:c r="B140" s="23" t="str">
        <x:v>msms_pos</x:v>
      </x:c>
      <x:c r="C140" s="23" t="str">
        <x:v>ttn</x:v>
      </x:c>
      <x:c r="D140" s="23" t="n">
        <x:v>41</x:v>
      </x:c>
      <x:c r="E140" s="23" t="n">
        <x:v>600</x:v>
      </x:c>
      <x:c r="F140" s="23"/>
      <x:c r="G140" s="23"/>
      <x:c r="H140" s="23"/>
      <x:c r="I140" s="24" t="n">
        <x:v>0.6359535193528432</x:v>
      </x:c>
      <x:c r="J140" s="24" t="n">
        <x:v>0.1498127815309057</x:v>
      </x:c>
      <x:c r="K140" s="24" t="n">
        <x:v>0.39288315044187444</x:v>
      </x:c>
      <x:c r="L140" s="24" t="n">
        <x:v>0.401231</x:v>
      </x:c>
      <x:c r="M140" s="24" t="n">
        <x:v>0.6346440727277045</x:v>
      </x:c>
      <x:c r="N140" s="24" t="n">
        <x:v>0.14793912653248986</x:v>
      </x:c>
      <x:c r="O140" s="24" t="n">
        <x:v>0.3912915996300972</x:v>
      </x:c>
      <x:c r="P140" s="24" t="n">
        <x:v>0.401827</x:v>
      </x:c>
      <x:c r="Q140" s="24"/>
      <x:c r="R140" s="24"/>
      <x:c r="S140" s="24" t="n">
        <x:v>0.726999</x:v>
      </x:c>
      <x:c r="T140" s="24"/>
      <x:c r="U140" s="24" t="n">
        <x:v>0.563109</x:v>
      </x:c>
      <x:c r="V140" s="24"/>
      <x:c r="W140" s="23" t="n">
        <x:v>31</x:v>
      </x:c>
      <x:c r="X140" s="23" t="n">
        <x:v>51</x:v>
      </x:c>
      <x:c r="Y140" s="25" t="n">
        <x:v>14.478</x:v>
      </x:c>
      <x:c r="Z140" s="23" t="str">
        <x:v>benchmark/preprocessing_training/dim_600/l2/msms_pos/seed_41/ttn/metrics.json</x:v>
      </x:c>
    </x:row>
    <x:row r="141">
      <x:c r="A141" s="23" t="str">
        <x:v>l2</x:v>
      </x:c>
      <x:c r="B141" s="23" t="str">
        <x:v>msms_pos</x:v>
      </x:c>
      <x:c r="C141" s="23" t="str">
        <x:v>xgboost</x:v>
      </x:c>
      <x:c r="D141" s="23" t="n">
        <x:v>41</x:v>
      </x:c>
      <x:c r="E141" s="23" t="n">
        <x:v>600</x:v>
      </x:c>
      <x:c r="F141" s="23" t="n">
        <x:v>635496</x:v>
      </x:c>
      <x:c r="G141" s="23" t="n">
        <x:v>79450</x:v>
      </x:c>
      <x:c r="H141" s="23" t="n">
        <x:v>79457</x:v>
      </x:c>
      <x:c r="I141" s="24" t="n">
        <x:v>0.6313967988192865</x:v>
      </x:c>
      <x:c r="J141" s="24" t="n">
        <x:v>0.1012513103843852</x:v>
      </x:c>
      <x:c r="K141" s="24" t="n">
        <x:v>0.3663240546018358</x:v>
      </x:c>
      <x:c r="L141" s="24"/>
      <x:c r="M141" s="24" t="n">
        <x:v>0.6307227254950987</x:v>
      </x:c>
      <x:c r="N141" s="24" t="n">
        <x:v>0.10194406161421278</x:v>
      </x:c>
      <x:c r="O141" s="24" t="n">
        <x:v>0.3663333935546557</x:v>
      </x:c>
      <x:c r="P141" s="24"/>
      <x:c r="Q141" s="24"/>
      <x:c r="R141" s="24"/>
      <x:c r="S141" s="24"/>
      <x:c r="T141" s="24"/>
      <x:c r="U141" s="24"/>
      <x:c r="V141" s="24"/>
      <x:c r="W141" s="23"/>
      <x:c r="X141" s="23"/>
      <x:c r="Y141" s="25" t="n">
        <x:v>2.4845452354988082</x:v>
      </x:c>
      <x:c r="Z141" s="23" t="str">
        <x:v>benchmark/preprocessing_training/dim_600/l2/msms_pos/seed_41/xgboost/pos_msms/original/metrics.json</x:v>
      </x:c>
    </x:row>
    <x:row r="142">
      <x:c r="A142" s="23" t="str">
        <x:v>log1p</x:v>
      </x:c>
      <x:c r="B142" s="23" t="str">
        <x:v>cnmr</x:v>
      </x:c>
      <x:c r="C142" s="23" t="str">
        <x:v>cnn</x:v>
      </x:c>
      <x:c r="D142" s="23" t="n">
        <x:v>41</x:v>
      </x:c>
      <x:c r="E142" s="23" t="n">
        <x:v>600</x:v>
      </x:c>
      <x:c r="F142" s="23" t="n">
        <x:v>635496</x:v>
      </x:c>
      <x:c r="G142" s="23" t="n">
        <x:v>79450</x:v>
      </x:c>
      <x:c r="H142" s="23" t="n">
        <x:v>79457</x:v>
      </x:c>
      <x:c r="I142" s="24" t="n">
        <x:v>0.535232393418244</x:v>
      </x:c>
      <x:c r="J142" s="24" t="n">
        <x:v>0.11838746876053526</x:v>
      </x:c>
      <x:c r="K142" s="24" t="n">
        <x:v>0.32680993108938966</x:v>
      </x:c>
      <x:c r="L142" s="24" t="n">
        <x:v>0.9222379326820374</x:v>
      </x:c>
      <x:c r="M142" s="24" t="n">
        <x:v>0.5355793353279268</x:v>
      </x:c>
      <x:c r="N142" s="24" t="n">
        <x:v>0.1184046607494685</x:v>
      </x:c>
      <x:c r="O142" s="24" t="n">
        <x:v>0.32699199803869766</x:v>
      </x:c>
      <x:c r="P142" s="24"/>
      <x:c r="Q142" s="24"/>
      <x:c r="R142" s="24"/>
      <x:c r="S142" s="24"/>
      <x:c r="T142" s="24"/>
      <x:c r="U142" s="24"/>
      <x:c r="V142" s="24"/>
      <x:c r="W142" s="23" t="n">
        <x:v>18</x:v>
      </x:c>
      <x:c r="X142" s="23" t="n">
        <x:v>77</x:v>
      </x:c>
      <x:c r="Y142" s="25" t="n">
        <x:v>56.052752643299755</x:v>
      </x:c>
      <x:c r="Z142" s="23" t="str">
        <x:v>benchmark/preprocessing_training/dim_600/log1p/cnmr/seed_41/cnn/cnmr/original/metrics.json</x:v>
      </x:c>
    </x:row>
    <x:row r="143">
      <x:c r="A143" s="23" t="str">
        <x:v>log1p</x:v>
      </x:c>
      <x:c r="B143" s="23" t="str">
        <x:v>cnmr</x:v>
      </x:c>
      <x:c r="C143" s="23" t="str">
        <x:v>mps</x:v>
      </x:c>
      <x:c r="D143" s="23" t="n">
        <x:v>41</x:v>
      </x:c>
      <x:c r="E143" s="23" t="n">
        <x:v>600</x:v>
      </x:c>
      <x:c r="F143" s="23"/>
      <x:c r="G143" s="23"/>
      <x:c r="H143" s="23"/>
      <x:c r="I143" s="24" t="n">
        <x:v>0.6389</x:v>
      </x:c>
      <x:c r="J143" s="24" t="n">
        <x:v>0.3278</x:v>
      </x:c>
      <x:c r="K143" s="24" t="n">
        <x:v>0.48335</x:v>
      </x:c>
      <x:c r="L143" s="24" t="n">
        <x:v>9.2501</x:v>
      </x:c>
      <x:c r="M143" s="24" t="n">
        <x:v>0.6399255841436983</x:v>
      </x:c>
      <x:c r="N143" s="24" t="n">
        <x:v>0.3345923329772606</x:v>
      </x:c>
      <x:c r="O143" s="24" t="n">
        <x:v>0.4872589585604794</x:v>
      </x:c>
      <x:c r="P143" s="24" t="n">
        <x:v>8.5462</x:v>
      </x:c>
      <x:c r="Q143" s="24" t="n">
        <x:v>0.0258</x:v>
      </x:c>
      <x:c r="R143" s="24" t="n">
        <x:v>0.6876</x:v>
      </x:c>
      <x:c r="S143" s="24" t="n">
        <x:v>0.5695</x:v>
      </x:c>
      <x:c r="T143" s="24" t="n">
        <x:v>0.296</x:v>
      </x:c>
      <x:c r="U143" s="24" t="n">
        <x:v>0.7303</x:v>
      </x:c>
      <x:c r="V143" s="24" t="n">
        <x:v>0.4113</x:v>
      </x:c>
      <x:c r="W143" s="23" t="n">
        <x:v>199</x:v>
      </x:c>
      <x:c r="X143" s="23" t="n">
        <x:v>200</x:v>
      </x:c>
      <x:c r="Y143" s="25" t="n">
        <x:v>351.3</x:v>
      </x:c>
      <x:c r="Z143" s="23" t="str">
        <x:v>benchmark/preprocessing_training/dim_600/log1p/cnmr/seed_41/mps/results/metrics.json</x:v>
      </x:c>
    </x:row>
    <x:row r="144">
      <x:c r="A144" s="23" t="str">
        <x:v>log1p</x:v>
      </x:c>
      <x:c r="B144" s="23" t="str">
        <x:v>cnmr</x:v>
      </x:c>
      <x:c r="C144" s="23" t="str">
        <x:v>ttn</x:v>
      </x:c>
      <x:c r="D144" s="23" t="n">
        <x:v>41</x:v>
      </x:c>
      <x:c r="E144" s="23" t="n">
        <x:v>600</x:v>
      </x:c>
      <x:c r="F144" s="23"/>
      <x:c r="G144" s="23"/>
      <x:c r="H144" s="23"/>
      <x:c r="I144" s="24" t="n">
        <x:v>0.7122667936762855</x:v>
      </x:c>
      <x:c r="J144" s="24" t="n">
        <x:v>0.3318569896055747</x:v>
      </x:c>
      <x:c r="K144" s="24" t="n">
        <x:v>0.5220618916409301</x:v>
      </x:c>
      <x:c r="L144" s="24" t="n">
        <x:v>0.342565</x:v>
      </x:c>
      <x:c r="M144" s="24" t="n">
        <x:v>0.7130852782411117</x:v>
      </x:c>
      <x:c r="N144" s="24" t="n">
        <x:v>0.3326457232618282</x:v>
      </x:c>
      <x:c r="O144" s="24" t="n">
        <x:v>0.52286550075147</x:v>
      </x:c>
      <x:c r="P144" s="24" t="n">
        <x:v>0.342481</x:v>
      </x:c>
      <x:c r="Q144" s="24"/>
      <x:c r="R144" s="24"/>
      <x:c r="S144" s="24" t="n">
        <x:v>0.711109</x:v>
      </x:c>
      <x:c r="T144" s="24"/>
      <x:c r="U144" s="24" t="n">
        <x:v>0.715073</x:v>
      </x:c>
      <x:c r="V144" s="24"/>
      <x:c r="W144" s="23" t="n">
        <x:v>50</x:v>
      </x:c>
      <x:c r="X144" s="23" t="n">
        <x:v>70</x:v>
      </x:c>
      <x:c r="Y144" s="25" t="n">
        <x:v>21.4335</x:v>
      </x:c>
      <x:c r="Z144" s="23" t="str">
        <x:v>benchmark/preprocessing_training/dim_600/log1p/cnmr/seed_41/ttn/metrics.json</x:v>
      </x:c>
    </x:row>
    <x:row r="145">
      <x:c r="A145" s="23" t="str">
        <x:v>log1p</x:v>
      </x:c>
      <x:c r="B145" s="23" t="str">
        <x:v>cnmr</x:v>
      </x:c>
      <x:c r="C145" s="23" t="str">
        <x:v>xgboost</x:v>
      </x:c>
      <x:c r="D145" s="23" t="n">
        <x:v>41</x:v>
      </x:c>
      <x:c r="E145" s="23" t="n">
        <x:v>600</x:v>
      </x:c>
      <x:c r="F145" s="23" t="n">
        <x:v>635496</x:v>
      </x:c>
      <x:c r="G145" s="23" t="n">
        <x:v>79450</x:v>
      </x:c>
      <x:c r="H145" s="23" t="n">
        <x:v>79457</x:v>
      </x:c>
      <x:c r="I145" s="24" t="n">
        <x:v>0.7889971697837949</x:v>
      </x:c>
      <x:c r="J145" s="24" t="n">
        <x:v>0.4190274147048362</x:v>
      </x:c>
      <x:c r="K145" s="24" t="n">
        <x:v>0.6040122922443155</x:v>
      </x:c>
      <x:c r="L145" s="24"/>
      <x:c r="M145" s="24" t="n">
        <x:v>0.7890503138602921</x:v>
      </x:c>
      <x:c r="N145" s="24" t="n">
        <x:v>0.4131132255237764</x:v>
      </x:c>
      <x:c r="O145" s="24" t="n">
        <x:v>0.6010817696920343</x:v>
      </x:c>
      <x:c r="P145" s="24"/>
      <x:c r="Q145" s="24"/>
      <x:c r="R145" s="24"/>
      <x:c r="S145" s="24"/>
      <x:c r="T145" s="24"/>
      <x:c r="U145" s="24"/>
      <x:c r="V145" s="24"/>
      <x:c r="W145" s="23"/>
      <x:c r="X145" s="23"/>
      <x:c r="Y145" s="25" t="n">
        <x:v>3.6550690757343545</x:v>
      </x:c>
      <x:c r="Z145" s="23" t="str">
        <x:v>benchmark/preprocessing_training/dim_600/log1p/cnmr/seed_41/xgboost/cnmr/original/metrics.json</x:v>
      </x:c>
    </x:row>
    <x:row r="146">
      <x:c r="A146" s="23" t="str">
        <x:v>log1p</x:v>
      </x:c>
      <x:c r="B146" s="23" t="str">
        <x:v>hnmr</x:v>
      </x:c>
      <x:c r="C146" s="23" t="str">
        <x:v>cnn</x:v>
      </x:c>
      <x:c r="D146" s="23" t="n">
        <x:v>41</x:v>
      </x:c>
      <x:c r="E146" s="23" t="n">
        <x:v>600</x:v>
      </x:c>
      <x:c r="F146" s="23" t="n">
        <x:v>635496</x:v>
      </x:c>
      <x:c r="G146" s="23" t="n">
        <x:v>79450</x:v>
      </x:c>
      <x:c r="H146" s="23" t="n">
        <x:v>79457</x:v>
      </x:c>
      <x:c r="I146" s="24" t="n">
        <x:v>0.49037716757963784</x:v>
      </x:c>
      <x:c r="J146" s="24" t="n">
        <x:v>0.06761044387997686</x:v>
      </x:c>
      <x:c r="K146" s="24" t="n">
        <x:v>0.27899380572980736</x:v>
      </x:c>
      <x:c r="L146" s="24" t="n">
        <x:v>4.336904048919678</x:v>
      </x:c>
      <x:c r="M146" s="24" t="n">
        <x:v>0.4908937090626826</x:v>
      </x:c>
      <x:c r="N146" s="24" t="n">
        <x:v>0.06782547127907183</x:v>
      </x:c>
      <x:c r="O146" s="24" t="n">
        <x:v>0.2793595901708772</x:v>
      </x:c>
      <x:c r="P146" s="24"/>
      <x:c r="Q146" s="24"/>
      <x:c r="R146" s="24"/>
      <x:c r="S146" s="24"/>
      <x:c r="T146" s="24"/>
      <x:c r="U146" s="24"/>
      <x:c r="V146" s="24"/>
      <x:c r="W146" s="23" t="n">
        <x:v>8</x:v>
      </x:c>
      <x:c r="X146" s="23" t="n">
        <x:v>21</x:v>
      </x:c>
      <x:c r="Y146" s="25" t="n">
        <x:v>16.117773164847556</x:v>
      </x:c>
      <x:c r="Z146" s="23" t="str">
        <x:v>benchmark/preprocessing_training/dim_600/log1p/hnmr/seed_41/cnn/hnmr/original/metrics.json</x:v>
      </x:c>
    </x:row>
    <x:row r="147">
      <x:c r="A147" s="23" t="str">
        <x:v>log1p</x:v>
      </x:c>
      <x:c r="B147" s="23" t="str">
        <x:v>hnmr</x:v>
      </x:c>
      <x:c r="C147" s="23" t="str">
        <x:v>mps</x:v>
      </x:c>
      <x:c r="D147" s="23" t="n">
        <x:v>41</x:v>
      </x:c>
      <x:c r="E147" s="23" t="n">
        <x:v>600</x:v>
      </x:c>
      <x:c r="F147" s="23"/>
      <x:c r="G147" s="23"/>
      <x:c r="H147" s="23"/>
      <x:c r="I147" s="24" t="n">
        <x:v>0.6971</x:v>
      </x:c>
      <x:c r="J147" s="24" t="n">
        <x:v>0.3716</x:v>
      </x:c>
      <x:c r="K147" s="24" t="n">
        <x:v>0.53435</x:v>
      </x:c>
      <x:c r="L147" s="24" t="n">
        <x:v>10.0206</x:v>
      </x:c>
      <x:c r="M147" s="24" t="n">
        <x:v>0.6964397950173326</x:v>
      </x:c>
      <x:c r="N147" s="24" t="n">
        <x:v>0.3683887297596188</x:v>
      </x:c>
      <x:c r="O147" s="24" t="n">
        <x:v>0.5324142623884757</x:v>
      </x:c>
      <x:c r="P147" s="24" t="n">
        <x:v>10.1641</x:v>
      </x:c>
      <x:c r="Q147" s="24" t="n">
        <x:v>0.0715</x:v>
      </x:c>
      <x:c r="R147" s="24" t="n">
        <x:v>0.7072</x:v>
      </x:c>
      <x:c r="S147" s="24" t="n">
        <x:v>0.6801</x:v>
      </x:c>
      <x:c r="T147" s="24" t="n">
        <x:v>0.385</x:v>
      </x:c>
      <x:c r="U147" s="24" t="n">
        <x:v>0.7136</x:v>
      </x:c>
      <x:c r="V147" s="24" t="n">
        <x:v>0.3638</x:v>
      </x:c>
      <x:c r="W147" s="23" t="n">
        <x:v>159</x:v>
      </x:c>
      <x:c r="X147" s="23" t="n">
        <x:v>169</x:v>
      </x:c>
      <x:c r="Y147" s="25" t="n">
        <x:v>133.5</x:v>
      </x:c>
      <x:c r="Z147" s="23" t="str">
        <x:v>benchmark/preprocessing_training/dim_600/log1p/hnmr/seed_41/mps/results/metrics.json</x:v>
      </x:c>
    </x:row>
    <x:row r="148">
      <x:c r="A148" s="23" t="str">
        <x:v>log1p</x:v>
      </x:c>
      <x:c r="B148" s="23" t="str">
        <x:v>hnmr</x:v>
      </x:c>
      <x:c r="C148" s="23" t="str">
        <x:v>ttn</x:v>
      </x:c>
      <x:c r="D148" s="23" t="n">
        <x:v>41</x:v>
      </x:c>
      <x:c r="E148" s="23" t="n">
        <x:v>600</x:v>
      </x:c>
      <x:c r="F148" s="23"/>
      <x:c r="G148" s="23"/>
      <x:c r="H148" s="23"/>
      <x:c r="I148" s="24" t="n">
        <x:v>0.6872521923961106</x:v>
      </x:c>
      <x:c r="J148" s="24" t="n">
        <x:v>0.29506581036213847</x:v>
      </x:c>
      <x:c r="K148" s="24" t="n">
        <x:v>0.4911590013791245</x:v>
      </x:c>
      <x:c r="L148" s="24" t="n">
        <x:v>0.356611</x:v>
      </x:c>
      <x:c r="M148" s="24" t="n">
        <x:v>0.6873301101262422</x:v>
      </x:c>
      <x:c r="N148" s="24" t="n">
        <x:v>0.2907526071920551</x:v>
      </x:c>
      <x:c r="O148" s="24" t="n">
        <x:v>0.48904135865914866</x:v>
      </x:c>
      <x:c r="P148" s="24" t="n">
        <x:v>0.358051</x:v>
      </x:c>
      <x:c r="Q148" s="24"/>
      <x:c r="R148" s="24"/>
      <x:c r="S148" s="24" t="n">
        <x:v>0.701148</x:v>
      </x:c>
      <x:c r="T148" s="24"/>
      <x:c r="U148" s="24" t="n">
        <x:v>0.674047</x:v>
      </x:c>
      <x:c r="V148" s="24"/>
      <x:c r="W148" s="23" t="n">
        <x:v>40</x:v>
      </x:c>
      <x:c r="X148" s="23" t="n">
        <x:v>60</x:v>
      </x:c>
      <x:c r="Y148" s="25" t="n">
        <x:v>18.186</x:v>
      </x:c>
      <x:c r="Z148" s="23" t="str">
        <x:v>benchmark/preprocessing_training/dim_600/log1p/hnmr/seed_41/ttn/metrics.json</x:v>
      </x:c>
    </x:row>
    <x:row r="149">
      <x:c r="A149" s="23" t="str">
        <x:v>log1p</x:v>
      </x:c>
      <x:c r="B149" s="23" t="str">
        <x:v>hnmr</x:v>
      </x:c>
      <x:c r="C149" s="23" t="str">
        <x:v>xgboost</x:v>
      </x:c>
      <x:c r="D149" s="23" t="n">
        <x:v>41</x:v>
      </x:c>
      <x:c r="E149" s="23" t="n">
        <x:v>600</x:v>
      </x:c>
      <x:c r="F149" s="23" t="n">
        <x:v>635496</x:v>
      </x:c>
      <x:c r="G149" s="23" t="n">
        <x:v>79450</x:v>
      </x:c>
      <x:c r="H149" s="23" t="n">
        <x:v>79457</x:v>
      </x:c>
      <x:c r="I149" s="24" t="n">
        <x:v>0.7638259680314556</x:v>
      </x:c>
      <x:c r="J149" s="24" t="n">
        <x:v>0.37651995443514397</x:v>
      </x:c>
      <x:c r="K149" s="24" t="n">
        <x:v>0.5701729612332997</x:v>
      </x:c>
      <x:c r="L149" s="24"/>
      <x:c r="M149" s="24" t="n">
        <x:v>0.7643606845173343</x:v>
      </x:c>
      <x:c r="N149" s="24" t="n">
        <x:v>0.366185006369678</x:v>
      </x:c>
      <x:c r="O149" s="24" t="n">
        <x:v>0.5652728454435061</x:v>
      </x:c>
      <x:c r="P149" s="24"/>
      <x:c r="Q149" s="24"/>
      <x:c r="R149" s="24"/>
      <x:c r="S149" s="24"/>
      <x:c r="T149" s="24"/>
      <x:c r="U149" s="24"/>
      <x:c r="V149" s="24"/>
      <x:c r="W149" s="23"/>
      <x:c r="X149" s="23"/>
      <x:c r="Y149" s="25" t="n">
        <x:v>3.839742111232287</x:v>
      </x:c>
      <x:c r="Z149" s="23" t="str">
        <x:v>benchmark/preprocessing_training/dim_600/log1p/hnmr/seed_41/xgboost/hnmr/original/metrics.json</x:v>
      </x:c>
    </x:row>
    <x:row r="150">
      <x:c r="A150" s="23" t="str">
        <x:v>log1p</x:v>
      </x:c>
      <x:c r="B150" s="23" t="str">
        <x:v>ir</x:v>
      </x:c>
      <x:c r="C150" s="23" t="str">
        <x:v>cnn</x:v>
      </x:c>
      <x:c r="D150" s="23" t="n">
        <x:v>41</x:v>
      </x:c>
      <x:c r="E150" s="23" t="n">
        <x:v>600</x:v>
      </x:c>
      <x:c r="F150" s="23" t="n">
        <x:v>635496</x:v>
      </x:c>
      <x:c r="G150" s="23" t="n">
        <x:v>79450</x:v>
      </x:c>
      <x:c r="H150" s="23" t="n">
        <x:v>79457</x:v>
      </x:c>
      <x:c r="I150" s="24" t="n">
        <x:v>0.8841080436985645</x:v>
      </x:c>
      <x:c r="J150" s="24" t="n">
        <x:v>0.662689879888134</x:v>
      </x:c>
      <x:c r="K150" s="24" t="n">
        <x:v>0.7733989617933492</x:v>
      </x:c>
      <x:c r="L150" s="24" t="n">
        <x:v>0.07337333261966705</x:v>
      </x:c>
      <x:c r="M150" s="24" t="n">
        <x:v>0.8838820959665216</x:v>
      </x:c>
      <x:c r="N150" s="24" t="n">
        <x:v>0.6688971213300933</x:v>
      </x:c>
      <x:c r="O150" s="24" t="n">
        <x:v>0.7763896086483074</x:v>
      </x:c>
      <x:c r="P150" s="24"/>
      <x:c r="Q150" s="24"/>
      <x:c r="R150" s="24"/>
      <x:c r="S150" s="24"/>
      <x:c r="T150" s="24"/>
      <x:c r="U150" s="24"/>
      <x:c r="V150" s="24"/>
      <x:c r="W150" s="23" t="n">
        <x:v>33</x:v>
      </x:c>
      <x:c r="X150" s="23" t="n">
        <x:v>42</x:v>
      </x:c>
      <x:c r="Y150" s="25" t="n">
        <x:v>31.47640321046735</x:v>
      </x:c>
      <x:c r="Z150" s="23" t="str">
        <x:v>benchmark/preprocessing_training/dim_600/log1p/ir/seed_41/cnn/ir/original/metrics.json</x:v>
      </x:c>
    </x:row>
    <x:row r="151">
      <x:c r="A151" s="23" t="str">
        <x:v>log1p</x:v>
      </x:c>
      <x:c r="B151" s="23" t="str">
        <x:v>ir</x:v>
      </x:c>
      <x:c r="C151" s="23" t="str">
        <x:v>mps</x:v>
      </x:c>
      <x:c r="D151" s="23" t="n">
        <x:v>41</x:v>
      </x:c>
      <x:c r="E151" s="23" t="n">
        <x:v>600</x:v>
      </x:c>
      <x:c r="F151" s="23"/>
      <x:c r="G151" s="23"/>
      <x:c r="H151" s="23"/>
      <x:c r="I151" s="24" t="n">
        <x:v>0.8463</x:v>
      </x:c>
      <x:c r="J151" s="24" t="n">
        <x:v>0.6816</x:v>
      </x:c>
      <x:c r="K151" s="24" t="n">
        <x:v>0.76395</x:v>
      </x:c>
      <x:c r="L151" s="24" t="n">
        <x:v>4.1384</x:v>
      </x:c>
      <x:c r="M151" s="24" t="n">
        <x:v>0.8455679986103346</x:v>
      </x:c>
      <x:c r="N151" s="24" t="n">
        <x:v>0.6856067502405896</x:v>
      </x:c>
      <x:c r="O151" s="24" t="n">
        <x:v>0.7655873744254621</x:v>
      </x:c>
      <x:c r="P151" s="24" t="n">
        <x:v>4.1248</x:v>
      </x:c>
      <x:c r="Q151" s="24" t="n">
        <x:v>0.2645</x:v>
      </x:c>
      <x:c r="R151" s="24" t="n">
        <x:v>0.8443</x:v>
      </x:c>
      <x:c r="S151" s="24" t="n">
        <x:v>0.8721</x:v>
      </x:c>
      <x:c r="T151" s="24" t="n">
        <x:v>0.7601</x:v>
      </x:c>
      <x:c r="U151" s="24" t="n">
        <x:v>0.8206</x:v>
      </x:c>
      <x:c r="V151" s="24" t="n">
        <x:v>0.647</x:v>
      </x:c>
      <x:c r="W151" s="23" t="n">
        <x:v>124</x:v>
      </x:c>
      <x:c r="X151" s="23" t="n">
        <x:v>132</x:v>
      </x:c>
      <x:c r="Y151" s="25" t="n">
        <x:v>103.9</x:v>
      </x:c>
      <x:c r="Z151" s="23" t="str">
        <x:v>benchmark/preprocessing_training/dim_600/log1p/ir/seed_41/mps/results/metrics.json</x:v>
      </x:c>
    </x:row>
    <x:row r="152">
      <x:c r="A152" s="23" t="str">
        <x:v>log1p</x:v>
      </x:c>
      <x:c r="B152" s="23" t="str">
        <x:v>ir</x:v>
      </x:c>
      <x:c r="C152" s="23" t="str">
        <x:v>ttn</x:v>
      </x:c>
      <x:c r="D152" s="23" t="n">
        <x:v>41</x:v>
      </x:c>
      <x:c r="E152" s="23" t="n">
        <x:v>600</x:v>
      </x:c>
      <x:c r="F152" s="23"/>
      <x:c r="G152" s="23"/>
      <x:c r="H152" s="23"/>
      <x:c r="I152" s="24" t="n">
        <x:v>0.833145826249854</x:v>
      </x:c>
      <x:c r="J152" s="24" t="n">
        <x:v>0.5959271461331695</x:v>
      </x:c>
      <x:c r="K152" s="24" t="n">
        <x:v>0.7145364861915118</x:v>
      </x:c>
      <x:c r="L152" s="24" t="n">
        <x:v>0.185703</x:v>
      </x:c>
      <x:c r="M152" s="24" t="n">
        <x:v>0.8328670759224673</x:v>
      </x:c>
      <x:c r="N152" s="24" t="n">
        <x:v>0.5866044266771101</x:v>
      </x:c>
      <x:c r="O152" s="24" t="n">
        <x:v>0.7097357512997887</x:v>
      </x:c>
      <x:c r="P152" s="24" t="n">
        <x:v>0.187388</x:v>
      </x:c>
      <x:c r="Q152" s="24"/>
      <x:c r="R152" s="24"/>
      <x:c r="S152" s="24" t="n">
        <x:v>0.830568</x:v>
      </x:c>
      <x:c r="T152" s="24"/>
      <x:c r="U152" s="24" t="n">
        <x:v>0.835179</x:v>
      </x:c>
      <x:c r="V152" s="24"/>
      <x:c r="W152" s="23" t="n">
        <x:v>42</x:v>
      </x:c>
      <x:c r="X152" s="23" t="n">
        <x:v>62</x:v>
      </x:c>
      <x:c r="Y152" s="25" t="n">
        <x:v>18.916166666666665</x:v>
      </x:c>
      <x:c r="Z152" s="23" t="str">
        <x:v>benchmark/preprocessing_training/dim_600/log1p/ir/seed_41/ttn/metrics.json</x:v>
      </x:c>
    </x:row>
    <x:row r="153">
      <x:c r="A153" s="23" t="str">
        <x:v>log1p</x:v>
      </x:c>
      <x:c r="B153" s="23" t="str">
        <x:v>ir</x:v>
      </x:c>
      <x:c r="C153" s="23" t="str">
        <x:v>xgboost</x:v>
      </x:c>
      <x:c r="D153" s="23" t="n">
        <x:v>41</x:v>
      </x:c>
      <x:c r="E153" s="23" t="n">
        <x:v>600</x:v>
      </x:c>
      <x:c r="F153" s="23" t="n">
        <x:v>635496</x:v>
      </x:c>
      <x:c r="G153" s="23" t="n">
        <x:v>79450</x:v>
      </x:c>
      <x:c r="H153" s="23" t="n">
        <x:v>79457</x:v>
      </x:c>
      <x:c r="I153" s="24" t="n">
        <x:v>0.8343381852122802</x:v>
      </x:c>
      <x:c r="J153" s="24" t="n">
        <x:v>0.5444308276876376</x:v>
      </x:c>
      <x:c r="K153" s="24" t="n">
        <x:v>0.6893845064499589</x:v>
      </x:c>
      <x:c r="L153" s="24"/>
      <x:c r="M153" s="24" t="n">
        <x:v>0.8351315147880575</x:v>
      </x:c>
      <x:c r="N153" s="24" t="n">
        <x:v>0.5356121030877812</x:v>
      </x:c>
      <x:c r="O153" s="24" t="n">
        <x:v>0.6853718089379193</x:v>
      </x:c>
      <x:c r="P153" s="24"/>
      <x:c r="Q153" s="24"/>
      <x:c r="R153" s="24"/>
      <x:c r="S153" s="24"/>
      <x:c r="T153" s="24"/>
      <x:c r="U153" s="24"/>
      <x:c r="V153" s="24"/>
      <x:c r="W153" s="23"/>
      <x:c r="X153" s="23"/>
      <x:c r="Y153" s="25" t="n">
        <x:v>5.9441742643985584</x:v>
      </x:c>
      <x:c r="Z153" s="23" t="str">
        <x:v>benchmark/preprocessing_training/dim_600/log1p/ir/seed_41/xgboost/ir/original/metrics.json</x:v>
      </x:c>
    </x:row>
    <x:row r="154">
      <x:c r="A154" s="23" t="str">
        <x:v>log1p</x:v>
      </x:c>
      <x:c r="B154" s="23" t="str">
        <x:v>msms_neg</x:v>
      </x:c>
      <x:c r="C154" s="23" t="str">
        <x:v>cnn</x:v>
      </x:c>
      <x:c r="D154" s="23" t="n">
        <x:v>41</x:v>
      </x:c>
      <x:c r="E154" s="23" t="n">
        <x:v>600</x:v>
      </x:c>
      <x:c r="F154" s="23" t="n">
        <x:v>635496</x:v>
      </x:c>
      <x:c r="G154" s="23" t="n">
        <x:v>79450</x:v>
      </x:c>
      <x:c r="H154" s="23" t="n">
        <x:v>79457</x:v>
      </x:c>
      <x:c r="I154" s="24" t="n">
        <x:v>0.644005554698349</x:v>
      </x:c>
      <x:c r="J154" s="24" t="n">
        <x:v>0.12048817429255096</x:v>
      </x:c>
      <x:c r="K154" s="24" t="n">
        <x:v>0.38224686449545</x:v>
      </x:c>
      <x:c r="L154" s="24" t="n">
        <x:v>0.20413099229335785</x:v>
      </x:c>
      <x:c r="M154" s="24" t="n">
        <x:v>0.6443872465056277</x:v>
      </x:c>
      <x:c r="N154" s="24" t="n">
        <x:v>0.11963380394685197</x:v>
      </x:c>
      <x:c r="O154" s="24" t="n">
        <x:v>0.38201052522623985</x:v>
      </x:c>
      <x:c r="P154" s="24"/>
      <x:c r="Q154" s="24"/>
      <x:c r="R154" s="24"/>
      <x:c r="S154" s="24"/>
      <x:c r="T154" s="24"/>
      <x:c r="U154" s="24"/>
      <x:c r="V154" s="24"/>
      <x:c r="W154" s="23" t="n">
        <x:v>17</x:v>
      </x:c>
      <x:c r="X154" s="23" t="n">
        <x:v>33</x:v>
      </x:c>
      <x:c r="Y154" s="25" t="n">
        <x:v>24.363128186331597</x:v>
      </x:c>
      <x:c r="Z154" s="23" t="str">
        <x:v>benchmark/preprocessing_training/dim_600/log1p/msms_neg/seed_41/cnn/neg_msms/original/metrics.json</x:v>
      </x:c>
    </x:row>
    <x:row r="155">
      <x:c r="A155" s="23" t="str">
        <x:v>log1p</x:v>
      </x:c>
      <x:c r="B155" s="23" t="str">
        <x:v>msms_neg</x:v>
      </x:c>
      <x:c r="C155" s="23" t="str">
        <x:v>mps</x:v>
      </x:c>
      <x:c r="D155" s="23" t="n">
        <x:v>41</x:v>
      </x:c>
      <x:c r="E155" s="23" t="n">
        <x:v>600</x:v>
      </x:c>
      <x:c r="F155" s="23"/>
      <x:c r="G155" s="23"/>
      <x:c r="H155" s="23"/>
      <x:c r="I155" s="24" t="n">
        <x:v>0.2823</x:v>
      </x:c>
      <x:c r="J155" s="24" t="n">
        <x:v>0.1749</x:v>
      </x:c>
      <x:c r="K155" s="24" t="n">
        <x:v>0.2286</x:v>
      </x:c>
      <x:c r="L155" s="24" t="n">
        <x:v>1.2729</x:v>
      </x:c>
      <x:c r="M155" s="24" t="n">
        <x:v>0.28127991813815995</x:v>
      </x:c>
      <x:c r="N155" s="24" t="n">
        <x:v>0.17461200513595737</x:v>
      </x:c>
      <x:c r="O155" s="24" t="n">
        <x:v>0.22794596163705866</x:v>
      </x:c>
      <x:c r="P155" s="24" t="n">
        <x:v>1.4761</x:v>
      </x:c>
      <x:c r="Q155" s="24" t="n">
        <x:v>0</x:v>
      </x:c>
      <x:c r="R155" s="24" t="n">
        <x:v>0.541</x:v>
      </x:c>
      <x:c r="S155" s="24" t="n">
        <x:v>0.1863</x:v>
      </x:c>
      <x:c r="T155" s="24" t="n">
        <x:v>0.1579</x:v>
      </x:c>
      <x:c r="U155" s="24" t="n">
        <x:v>0.5735</x:v>
      </x:c>
      <x:c r="V155" s="24" t="n">
        <x:v>0.5644</x:v>
      </x:c>
      <x:c r="W155" s="23" t="n">
        <x:v>20</x:v>
      </x:c>
      <x:c r="X155" s="23" t="n">
        <x:v>40</x:v>
      </x:c>
      <x:c r="Y155" s="25" t="n">
        <x:v>32.9</x:v>
      </x:c>
      <x:c r="Z155" s="23" t="str">
        <x:v>benchmark/preprocessing_training/dim_600/log1p/msms_neg/seed_41/mps/results/metrics.json</x:v>
      </x:c>
    </x:row>
    <x:row r="156">
      <x:c r="A156" s="23" t="str">
        <x:v>log1p</x:v>
      </x:c>
      <x:c r="B156" s="23" t="str">
        <x:v>msms_neg</x:v>
      </x:c>
      <x:c r="C156" s="23" t="str">
        <x:v>ttn</x:v>
      </x:c>
      <x:c r="D156" s="23" t="n">
        <x:v>41</x:v>
      </x:c>
      <x:c r="E156" s="23" t="n">
        <x:v>600</x:v>
      </x:c>
      <x:c r="F156" s="23"/>
      <x:c r="G156" s="23"/>
      <x:c r="H156" s="23"/>
      <x:c r="I156" s="24" t="n">
        <x:v>0.6428102698712165</x:v>
      </x:c>
      <x:c r="J156" s="24" t="n">
        <x:v>0.15101191547653292</x:v>
      </x:c>
      <x:c r="K156" s="24" t="n">
        <x:v>0.3969110926738747</x:v>
      </x:c>
      <x:c r="L156" s="24" t="n">
        <x:v>0.399109</x:v>
      </x:c>
      <x:c r="M156" s="24" t="n">
        <x:v>0.6426184472189762</x:v>
      </x:c>
      <x:c r="N156" s="24" t="n">
        <x:v>0.14939686355066487</x:v>
      </x:c>
      <x:c r="O156" s="24" t="n">
        <x:v>0.3960076553848205</x:v>
      </x:c>
      <x:c r="P156" s="24" t="n">
        <x:v>0.399638</x:v>
      </x:c>
      <x:c r="Q156" s="24"/>
      <x:c r="R156" s="24"/>
      <x:c r="S156" s="24" t="n">
        <x:v>0.723566</x:v>
      </x:c>
      <x:c r="T156" s="24"/>
      <x:c r="U156" s="24" t="n">
        <x:v>0.57796</x:v>
      </x:c>
      <x:c r="V156" s="24"/>
      <x:c r="W156" s="23" t="n">
        <x:v>6</x:v>
      </x:c>
      <x:c r="X156" s="23" t="n">
        <x:v>73</x:v>
      </x:c>
      <x:c r="Y156" s="25" t="n">
        <x:v>22.121</x:v>
      </x:c>
      <x:c r="Z156" s="23" t="str">
        <x:v>benchmark/preprocessing_training/dim_600/log1p/msms_neg/seed_41/ttn/metrics.json</x:v>
      </x:c>
    </x:row>
    <x:row r="157">
      <x:c r="A157" s="23" t="str">
        <x:v>log1p</x:v>
      </x:c>
      <x:c r="B157" s="23" t="str">
        <x:v>msms_neg</x:v>
      </x:c>
      <x:c r="C157" s="23" t="str">
        <x:v>xgboost</x:v>
      </x:c>
      <x:c r="D157" s="23" t="n">
        <x:v>41</x:v>
      </x:c>
      <x:c r="E157" s="23" t="n">
        <x:v>600</x:v>
      </x:c>
      <x:c r="F157" s="23" t="n">
        <x:v>635496</x:v>
      </x:c>
      <x:c r="G157" s="23" t="n">
        <x:v>79450</x:v>
      </x:c>
      <x:c r="H157" s="23" t="n">
        <x:v>79457</x:v>
      </x:c>
      <x:c r="I157" s="24" t="n">
        <x:v>0.626464060756116</x:v>
      </x:c>
      <x:c r="J157" s="24" t="n">
        <x:v>0.11095946725925443</x:v>
      </x:c>
      <x:c r="K157" s="24" t="n">
        <x:v>0.36871176400768524</x:v>
      </x:c>
      <x:c r="L157" s="24"/>
      <x:c r="M157" s="24" t="n">
        <x:v>0.6265014232031859</x:v>
      </x:c>
      <x:c r="N157" s="24" t="n">
        <x:v>0.11111037161357867</x:v>
      </x:c>
      <x:c r="O157" s="24" t="n">
        <x:v>0.3688058974083823</x:v>
      </x:c>
      <x:c r="P157" s="24"/>
      <x:c r="Q157" s="24"/>
      <x:c r="R157" s="24"/>
      <x:c r="S157" s="24"/>
      <x:c r="T157" s="24"/>
      <x:c r="U157" s="24"/>
      <x:c r="V157" s="24"/>
      <x:c r="W157" s="23"/>
      <x:c r="X157" s="23"/>
      <x:c r="Y157" s="25" t="n">
        <x:v>2.471137810847722</x:v>
      </x:c>
      <x:c r="Z157" s="23" t="str">
        <x:v>benchmark/preprocessing_training/dim_600/log1p/msms_neg/seed_41/xgboost/neg_msms/original/metrics.json</x:v>
      </x:c>
    </x:row>
    <x:row r="158">
      <x:c r="A158" s="23" t="str">
        <x:v>log1p</x:v>
      </x:c>
      <x:c r="B158" s="23" t="str">
        <x:v>msms_pos</x:v>
      </x:c>
      <x:c r="C158" s="23" t="str">
        <x:v>cnn</x:v>
      </x:c>
      <x:c r="D158" s="23" t="n">
        <x:v>41</x:v>
      </x:c>
      <x:c r="E158" s="23" t="n">
        <x:v>600</x:v>
      </x:c>
      <x:c r="F158" s="23" t="n">
        <x:v>635496</x:v>
      </x:c>
      <x:c r="G158" s="23" t="n">
        <x:v>79450</x:v>
      </x:c>
      <x:c r="H158" s="23" t="n">
        <x:v>79457</x:v>
      </x:c>
      <x:c r="I158" s="24" t="n">
        <x:v>0.6433264543124508</x:v>
      </x:c>
      <x:c r="J158" s="24" t="n">
        <x:v>0.10947313648858026</x:v>
      </x:c>
      <x:c r="K158" s="24" t="n">
        <x:v>0.37639979540051555</x:v>
      </x:c>
      <x:c r="L158" s="24" t="n">
        <x:v>0.2164166271686554</x:v>
      </x:c>
      <x:c r="M158" s="24" t="n">
        <x:v>0.6425842757084034</x:v>
      </x:c>
      <x:c r="N158" s="24" t="n">
        <x:v>0.11000759196354029</x:v>
      </x:c>
      <x:c r="O158" s="24" t="n">
        <x:v>0.3762959338359718</x:v>
      </x:c>
      <x:c r="P158" s="24"/>
      <x:c r="Q158" s="24"/>
      <x:c r="R158" s="24"/>
      <x:c r="S158" s="24"/>
      <x:c r="T158" s="24"/>
      <x:c r="U158" s="24"/>
      <x:c r="V158" s="24"/>
      <x:c r="W158" s="23" t="n">
        <x:v>28</x:v>
      </x:c>
      <x:c r="X158" s="23" t="n">
        <x:v>33</x:v>
      </x:c>
      <x:c r="Y158" s="25" t="n">
        <x:v>24.531231717734286</x:v>
      </x:c>
      <x:c r="Z158" s="23" t="str">
        <x:v>benchmark/preprocessing_training/dim_600/log1p/msms_pos/seed_41/cnn/pos_msms/original/metrics.json</x:v>
      </x:c>
    </x:row>
    <x:row r="159">
      <x:c r="A159" s="23" t="str">
        <x:v>log1p</x:v>
      </x:c>
      <x:c r="B159" s="23" t="str">
        <x:v>msms_pos</x:v>
      </x:c>
      <x:c r="C159" s="23" t="str">
        <x:v>mps</x:v>
      </x:c>
      <x:c r="D159" s="23" t="n">
        <x:v>41</x:v>
      </x:c>
      <x:c r="E159" s="23" t="n">
        <x:v>600</x:v>
      </x:c>
      <x:c r="F159" s="23"/>
      <x:c r="G159" s="23"/>
      <x:c r="H159" s="23"/>
      <x:c r="I159" s="24" t="n">
        <x:v>0.302</x:v>
      </x:c>
      <x:c r="J159" s="24" t="n">
        <x:v>0.1771</x:v>
      </x:c>
      <x:c r="K159" s="24" t="n">
        <x:v>0.23954999999999999</x:v>
      </x:c>
      <x:c r="L159" s="24" t="n">
        <x:v>2.4202</x:v>
      </x:c>
      <x:c r="M159" s="24" t="n">
        <x:v>0.3013264248134672</x:v>
      </x:c>
      <x:c r="N159" s="24" t="n">
        <x:v>0.17709869282621318</x:v>
      </x:c>
      <x:c r="O159" s="24" t="n">
        <x:v>0.23921255881984022</x:v>
      </x:c>
      <x:c r="P159" s="24" t="n">
        <x:v>1.9345</x:v>
      </x:c>
      <x:c r="Q159" s="24" t="n">
        <x:v>0.0001</x:v>
      </x:c>
      <x:c r="R159" s="24" t="n">
        <x:v>0.5446</x:v>
      </x:c>
      <x:c r="S159" s="24" t="n">
        <x:v>0.2039</x:v>
      </x:c>
      <x:c r="T159" s="24" t="n">
        <x:v>0.1605</x:v>
      </x:c>
      <x:c r="U159" s="24" t="n">
        <x:v>0.5772</x:v>
      </x:c>
      <x:c r="V159" s="24" t="n">
        <x:v>0.5309</x:v>
      </x:c>
      <x:c r="W159" s="23" t="n">
        <x:v>147</x:v>
      </x:c>
      <x:c r="X159" s="23" t="n">
        <x:v>167</x:v>
      </x:c>
      <x:c r="Y159" s="25" t="n">
        <x:v>135.2</x:v>
      </x:c>
      <x:c r="Z159" s="23" t="str">
        <x:v>benchmark/preprocessing_training/dim_600/log1p/msms_pos/seed_41/mps/results/metrics.json</x:v>
      </x:c>
    </x:row>
    <x:row r="160">
      <x:c r="A160" s="23" t="str">
        <x:v>log1p</x:v>
      </x:c>
      <x:c r="B160" s="23" t="str">
        <x:v>msms_pos</x:v>
      </x:c>
      <x:c r="C160" s="23" t="str">
        <x:v>ttn</x:v>
      </x:c>
      <x:c r="D160" s="23" t="n">
        <x:v>41</x:v>
      </x:c>
      <x:c r="E160" s="23" t="n">
        <x:v>600</x:v>
      </x:c>
      <x:c r="F160" s="23"/>
      <x:c r="G160" s="23"/>
      <x:c r="H160" s="23"/>
      <x:c r="I160" s="24" t="n">
        <x:v>0.6477230512380849</x:v>
      </x:c>
      <x:c r="J160" s="24" t="n">
        <x:v>0.14992400807857625</x:v>
      </x:c>
      <x:c r="K160" s="24" t="n">
        <x:v>0.39882352965833057</x:v>
      </x:c>
      <x:c r="L160" s="24" t="n">
        <x:v>0.398263</x:v>
      </x:c>
      <x:c r="M160" s="24" t="n">
        <x:v>0.647439558902385</x:v>
      </x:c>
      <x:c r="N160" s="24" t="n">
        <x:v>0.15070638760790508</x:v>
      </x:c>
      <x:c r="O160" s="24" t="n">
        <x:v>0.39907297325514507</x:v>
      </x:c>
      <x:c r="P160" s="24" t="n">
        <x:v>0.39857</x:v>
      </x:c>
      <x:c r="Q160" s="24"/>
      <x:c r="R160" s="24"/>
      <x:c r="S160" s="24" t="n">
        <x:v>0.724488</x:v>
      </x:c>
      <x:c r="T160" s="24"/>
      <x:c r="U160" s="24" t="n">
        <x:v>0.585204</x:v>
      </x:c>
      <x:c r="V160" s="24"/>
      <x:c r="W160" s="23" t="n">
        <x:v>4</x:v>
      </x:c>
      <x:c r="X160" s="23" t="n">
        <x:v>68</x:v>
      </x:c>
      <x:c r="Y160" s="25" t="n">
        <x:v>20.213666666666665</x:v>
      </x:c>
      <x:c r="Z160" s="23" t="str">
        <x:v>benchmark/preprocessing_training/dim_600/log1p/msms_pos/seed_41/ttn/metrics.json</x:v>
      </x:c>
    </x:row>
    <x:row r="161">
      <x:c r="A161" s="23" t="str">
        <x:v>log1p</x:v>
      </x:c>
      <x:c r="B161" s="23" t="str">
        <x:v>msms_pos</x:v>
      </x:c>
      <x:c r="C161" s="23" t="str">
        <x:v>xgboost</x:v>
      </x:c>
      <x:c r="D161" s="23" t="n">
        <x:v>41</x:v>
      </x:c>
      <x:c r="E161" s="23" t="n">
        <x:v>600</x:v>
      </x:c>
      <x:c r="F161" s="23" t="n">
        <x:v>635496</x:v>
      </x:c>
      <x:c r="G161" s="23" t="n">
        <x:v>79450</x:v>
      </x:c>
      <x:c r="H161" s="23" t="n">
        <x:v>79457</x:v>
      </x:c>
      <x:c r="I161" s="24" t="n">
        <x:v>0.635294643441452</x:v>
      </x:c>
      <x:c r="J161" s="24" t="n">
        <x:v>0.10420038631361997</x:v>
      </x:c>
      <x:c r="K161" s="24" t="n">
        <x:v>0.369747514877536</x:v>
      </x:c>
      <x:c r="L161" s="24"/>
      <x:c r="M161" s="24" t="n">
        <x:v>0.6342628921751166</x:v>
      </x:c>
      <x:c r="N161" s="24" t="n">
        <x:v>0.10474194264308831</x:v>
      </x:c>
      <x:c r="O161" s="24" t="n">
        <x:v>0.36950241740910245</x:v>
      </x:c>
      <x:c r="P161" s="24"/>
      <x:c r="Q161" s="24"/>
      <x:c r="R161" s="24"/>
      <x:c r="S161" s="24"/>
      <x:c r="T161" s="24"/>
      <x:c r="U161" s="24"/>
      <x:c r="V161" s="24"/>
      <x:c r="W161" s="23"/>
      <x:c r="X161" s="23"/>
      <x:c r="Y161" s="25" t="n">
        <x:v>2.5222068206678765</x:v>
      </x:c>
      <x:c r="Z161" s="23" t="str">
        <x:v>benchmark/preprocessing_training/dim_600/log1p/msms_pos/seed_41/xgboost/pos_msms/original/metrics.json</x:v>
      </x:c>
    </x:row>
    <x:row r="162">
      <x:c r="A162" s="23" t="str">
        <x:v>lorentz</x:v>
      </x:c>
      <x:c r="B162" s="23" t="str">
        <x:v>cnmr</x:v>
      </x:c>
      <x:c r="C162" s="23" t="str">
        <x:v>cnn</x:v>
      </x:c>
      <x:c r="D162" s="23" t="n">
        <x:v>41</x:v>
      </x:c>
      <x:c r="E162" s="23" t="n">
        <x:v>600</x:v>
      </x:c>
      <x:c r="F162" s="23" t="n">
        <x:v>635496</x:v>
      </x:c>
      <x:c r="G162" s="23" t="n">
        <x:v>79450</x:v>
      </x:c>
      <x:c r="H162" s="23" t="n">
        <x:v>79457</x:v>
      </x:c>
      <x:c r="I162" s="24" t="n">
        <x:v>0.5150220298369019</x:v>
      </x:c>
      <x:c r="J162" s="24" t="n">
        <x:v>0.0886990139715826</x:v>
      </x:c>
      <x:c r="K162" s="24" t="n">
        <x:v>0.3018605219042423</x:v>
      </x:c>
      <x:c r="L162" s="24" t="n">
        <x:v>1.556546688079834</x:v>
      </x:c>
      <x:c r="M162" s="24" t="n">
        <x:v>0.5150501465537088</x:v>
      </x:c>
      <x:c r="N162" s="24" t="n">
        <x:v>0.08894006038722707</x:v>
      </x:c>
      <x:c r="O162" s="24" t="n">
        <x:v>0.301995103470468</x:v>
      </x:c>
      <x:c r="P162" s="24"/>
      <x:c r="Q162" s="24"/>
      <x:c r="R162" s="24"/>
      <x:c r="S162" s="24"/>
      <x:c r="T162" s="24"/>
      <x:c r="U162" s="24"/>
      <x:c r="V162" s="24"/>
      <x:c r="W162" s="23" t="n">
        <x:v>23</x:v>
      </x:c>
      <x:c r="X162" s="23" t="n">
        <x:v>42</x:v>
      </x:c>
      <x:c r="Y162" s="25" t="n">
        <x:v>32.96949134821383</x:v>
      </x:c>
      <x:c r="Z162" s="23" t="str">
        <x:v>benchmark/preprocessing_training/dim_600/lorentz/cnmr/seed_41/cnn/cnmr/original/metrics.json</x:v>
      </x:c>
    </x:row>
    <x:row r="163">
      <x:c r="A163" s="23" t="str">
        <x:v>lorentz</x:v>
      </x:c>
      <x:c r="B163" s="23" t="str">
        <x:v>cnmr</x:v>
      </x:c>
      <x:c r="C163" s="23" t="str">
        <x:v>mps</x:v>
      </x:c>
      <x:c r="D163" s="23" t="n">
        <x:v>41</x:v>
      </x:c>
      <x:c r="E163" s="23" t="n">
        <x:v>600</x:v>
      </x:c>
      <x:c r="F163" s="23"/>
      <x:c r="G163" s="23"/>
      <x:c r="H163" s="23"/>
      <x:c r="I163" s="24" t="n">
        <x:v>0.5806</x:v>
      </x:c>
      <x:c r="J163" s="24" t="n">
        <x:v>0.2839</x:v>
      </x:c>
      <x:c r="K163" s="24" t="n">
        <x:v>0.43225</x:v>
      </x:c>
      <x:c r="L163" s="24" t="n">
        <x:v>6.4579</x:v>
      </x:c>
      <x:c r="M163" s="24" t="n">
        <x:v>0.5817453467011929</x:v>
      </x:c>
      <x:c r="N163" s="24" t="n">
        <x:v>0.282816525849795</x:v>
      </x:c>
      <x:c r="O163" s="24" t="n">
        <x:v>0.43228093627549397</x:v>
      </x:c>
      <x:c r="P163" s="24" t="n">
        <x:v>6.6492</x:v>
      </x:c>
      <x:c r="Q163" s="24" t="n">
        <x:v>0.0077</x:v>
      </x:c>
      <x:c r="R163" s="24" t="n">
        <x:v>0.6831</x:v>
      </x:c>
      <x:c r="S163" s="24" t="n">
        <x:v>0.4706</x:v>
      </x:c>
      <x:c r="T163" s="24" t="n">
        <x:v>0.2318</x:v>
      </x:c>
      <x:c r="U163" s="24" t="n">
        <x:v>0.7616</x:v>
      </x:c>
      <x:c r="V163" s="24" t="n">
        <x:v>0.4746</x:v>
      </x:c>
      <x:c r="W163" s="23" t="n">
        <x:v>198</x:v>
      </x:c>
      <x:c r="X163" s="23" t="n">
        <x:v>200</x:v>
      </x:c>
      <x:c r="Y163" s="25" t="n">
        <x:v>280</x:v>
      </x:c>
      <x:c r="Z163" s="23" t="str">
        <x:v>benchmark/preprocessing_training/dim_600/lorentz/cnmr/seed_41/mps/results/metrics.json</x:v>
      </x:c>
    </x:row>
    <x:row r="164">
      <x:c r="A164" s="23" t="str">
        <x:v>lorentz</x:v>
      </x:c>
      <x:c r="B164" s="23" t="str">
        <x:v>cnmr</x:v>
      </x:c>
      <x:c r="C164" s="23" t="str">
        <x:v>ttn</x:v>
      </x:c>
      <x:c r="D164" s="23" t="n">
        <x:v>41</x:v>
      </x:c>
      <x:c r="E164" s="23" t="n">
        <x:v>600</x:v>
      </x:c>
      <x:c r="F164" s="23"/>
      <x:c r="G164" s="23"/>
      <x:c r="H164" s="23"/>
      <x:c r="I164" s="24" t="n">
        <x:v>0.7161203904829426</x:v>
      </x:c>
      <x:c r="J164" s="24" t="n">
        <x:v>0.3234383347828085</x:v>
      </x:c>
      <x:c r="K164" s="24" t="n">
        <x:v>0.5197793626328755</x:v>
      </x:c>
      <x:c r="L164" s="24" t="n">
        <x:v>0.324802</x:v>
      </x:c>
      <x:c r="M164" s="24" t="n">
        <x:v>0.7167829285222289</x:v>
      </x:c>
      <x:c r="N164" s="24" t="n">
        <x:v>0.32196866847666555</x:v>
      </x:c>
      <x:c r="O164" s="24" t="n">
        <x:v>0.5193757984994473</x:v>
      </x:c>
      <x:c r="P164" s="24" t="n">
        <x:v>0.323531</x:v>
      </x:c>
      <x:c r="Q164" s="24"/>
      <x:c r="R164" s="24"/>
      <x:c r="S164" s="24" t="n">
        <x:v>0.723747</x:v>
      </x:c>
      <x:c r="T164" s="24"/>
      <x:c r="U164" s="24" t="n">
        <x:v>0.709952</x:v>
      </x:c>
      <x:c r="V164" s="24"/>
      <x:c r="W164" s="23" t="n">
        <x:v>20</x:v>
      </x:c>
      <x:c r="X164" s="23" t="n">
        <x:v>59</x:v>
      </x:c>
      <x:c r="Y164" s="25" t="n">
        <x:v>18.228833333333334</x:v>
      </x:c>
      <x:c r="Z164" s="23" t="str">
        <x:v>benchmark/preprocessing_training/dim_600/lorentz/cnmr/seed_41/ttn/metrics.json</x:v>
      </x:c>
    </x:row>
    <x:row r="165">
      <x:c r="A165" s="23" t="str">
        <x:v>lorentz</x:v>
      </x:c>
      <x:c r="B165" s="23" t="str">
        <x:v>cnmr</x:v>
      </x:c>
      <x:c r="C165" s="23" t="str">
        <x:v>xgboost</x:v>
      </x:c>
      <x:c r="D165" s="23" t="n">
        <x:v>41</x:v>
      </x:c>
      <x:c r="E165" s="23" t="n">
        <x:v>600</x:v>
      </x:c>
      <x:c r="F165" s="23" t="n">
        <x:v>635496</x:v>
      </x:c>
      <x:c r="G165" s="23" t="n">
        <x:v>79450</x:v>
      </x:c>
      <x:c r="H165" s="23" t="n">
        <x:v>79457</x:v>
      </x:c>
      <x:c r="I165" s="24" t="n">
        <x:v>0.772663707137287</x:v>
      </x:c>
      <x:c r="J165" s="24" t="n">
        <x:v>0.3652236963796137</x:v>
      </x:c>
      <x:c r="K165" s="24" t="n">
        <x:v>0.5689437017584504</x:v>
      </x:c>
      <x:c r="L165" s="24"/>
      <x:c r="M165" s="24" t="n">
        <x:v>0.7728134520587351</x:v>
      </x:c>
      <x:c r="N165" s="24" t="n">
        <x:v>0.3603745296405858</x:v>
      </x:c>
      <x:c r="O165" s="24" t="n">
        <x:v>0.5665939908496604</x:v>
      </x:c>
      <x:c r="P165" s="24"/>
      <x:c r="Q165" s="24"/>
      <x:c r="R165" s="24"/>
      <x:c r="S165" s="24"/>
      <x:c r="T165" s="24"/>
      <x:c r="U165" s="24"/>
      <x:c r="V165" s="24"/>
      <x:c r="W165" s="23"/>
      <x:c r="X165" s="23"/>
      <x:c r="Y165" s="25" t="n">
        <x:v>6.6199422104167756</x:v>
      </x:c>
      <x:c r="Z165" s="23" t="str">
        <x:v>benchmark/preprocessing_training/dim_600/lorentz/cnmr/seed_41/xgboost/cnmr/original/metrics.json</x:v>
      </x:c>
    </x:row>
    <x:row r="166">
      <x:c r="A166" s="23" t="str">
        <x:v>lorentz</x:v>
      </x:c>
      <x:c r="B166" s="23" t="str">
        <x:v>hnmr</x:v>
      </x:c>
      <x:c r="C166" s="23" t="str">
        <x:v>cnn</x:v>
      </x:c>
      <x:c r="D166" s="23" t="n">
        <x:v>41</x:v>
      </x:c>
      <x:c r="E166" s="23" t="n">
        <x:v>600</x:v>
      </x:c>
      <x:c r="F166" s="23" t="n">
        <x:v>635496</x:v>
      </x:c>
      <x:c r="G166" s="23" t="n">
        <x:v>79450</x:v>
      </x:c>
      <x:c r="H166" s="23" t="n">
        <x:v>79457</x:v>
      </x:c>
      <x:c r="I166" s="24" t="n">
        <x:v>0.3639474263391015</x:v>
      </x:c>
      <x:c r="J166" s="24" t="n">
        <x:v>0.048578655666190476</x:v>
      </x:c>
      <x:c r="K166" s="24" t="n">
        <x:v>0.20626304100264597</x:v>
      </x:c>
      <x:c r="L166" s="24" t="n">
        <x:v>2.609086036682129</x:v>
      </x:c>
      <x:c r="M166" s="24" t="n">
        <x:v>0.36466676871690173</x:v>
      </x:c>
      <x:c r="N166" s="24" t="n">
        <x:v>0.04877231269775026</x:v>
      </x:c>
      <x:c r="O166" s="24" t="n">
        <x:v>0.206719540707326</x:v>
      </x:c>
      <x:c r="P166" s="24"/>
      <x:c r="Q166" s="24"/>
      <x:c r="R166" s="24"/>
      <x:c r="S166" s="24"/>
      <x:c r="T166" s="24"/>
      <x:c r="U166" s="24"/>
      <x:c r="V166" s="24"/>
      <x:c r="W166" s="23" t="n">
        <x:v>27</x:v>
      </x:c>
      <x:c r="X166" s="23" t="n">
        <x:v>27</x:v>
      </x:c>
      <x:c r="Y166" s="25" t="n">
        <x:v>21.38101610659699</x:v>
      </x:c>
      <x:c r="Z166" s="23" t="str">
        <x:v>benchmark/preprocessing_training/dim_600/lorentz/hnmr/seed_41/cnn/hnmr/original/metrics.json</x:v>
      </x:c>
    </x:row>
    <x:row r="167">
      <x:c r="A167" s="23" t="str">
        <x:v>lorentz</x:v>
      </x:c>
      <x:c r="B167" s="23" t="str">
        <x:v>hnmr</x:v>
      </x:c>
      <x:c r="C167" s="23" t="str">
        <x:v>mps</x:v>
      </x:c>
      <x:c r="D167" s="23" t="n">
        <x:v>41</x:v>
      </x:c>
      <x:c r="E167" s="23" t="n">
        <x:v>600</x:v>
      </x:c>
      <x:c r="F167" s="23"/>
      <x:c r="G167" s="23"/>
      <x:c r="H167" s="23"/>
      <x:c r="I167" s="24" t="n">
        <x:v>0.6047</x:v>
      </x:c>
      <x:c r="J167" s="24" t="n">
        <x:v>0.2978</x:v>
      </x:c>
      <x:c r="K167" s="24" t="n">
        <x:v>0.45125000000000004</x:v>
      </x:c>
      <x:c r="L167" s="24" t="n">
        <x:v>6.0961</x:v>
      </x:c>
      <x:c r="M167" s="24" t="n">
        <x:v>0.6060596334692043</x:v>
      </x:c>
      <x:c r="N167" s="24" t="n">
        <x:v>0.2955085071517561</x:v>
      </x:c>
      <x:c r="O167" s="24" t="n">
        <x:v>0.4507840703104802</x:v>
      </x:c>
      <x:c r="P167" s="24" t="n">
        <x:v>5.8727</x:v>
      </x:c>
      <x:c r="Q167" s="24" t="n">
        <x:v>0.015</x:v>
      </x:c>
      <x:c r="R167" s="24" t="n">
        <x:v>0.6817</x:v>
      </x:c>
      <x:c r="S167" s="24" t="n">
        <x:v>0.5103</x:v>
      </x:c>
      <x:c r="T167" s="24" t="n">
        <x:v>0.2447</x:v>
      </x:c>
      <x:c r="U167" s="24" t="n">
        <x:v>0.7461</x:v>
      </x:c>
      <x:c r="V167" s="24" t="n">
        <x:v>0.4388</x:v>
      </x:c>
      <x:c r="W167" s="23" t="n">
        <x:v>179</x:v>
      </x:c>
      <x:c r="X167" s="23" t="n">
        <x:v>189</x:v>
      </x:c>
      <x:c r="Y167" s="25" t="n">
        <x:v>126.4</x:v>
      </x:c>
      <x:c r="Z167" s="23" t="str">
        <x:v>benchmark/preprocessing_training/dim_600/lorentz/hnmr/seed_41/mps/results/metrics.json</x:v>
      </x:c>
    </x:row>
    <x:row r="168">
      <x:c r="A168" s="23" t="str">
        <x:v>lorentz</x:v>
      </x:c>
      <x:c r="B168" s="23" t="str">
        <x:v>hnmr</x:v>
      </x:c>
      <x:c r="C168" s="23" t="str">
        <x:v>ttn</x:v>
      </x:c>
      <x:c r="D168" s="23" t="n">
        <x:v>41</x:v>
      </x:c>
      <x:c r="E168" s="23" t="n">
        <x:v>600</x:v>
      </x:c>
      <x:c r="F168" s="23"/>
      <x:c r="G168" s="23"/>
      <x:c r="H168" s="23"/>
      <x:c r="I168" s="24" t="n">
        <x:v>0.6849676243650886</x:v>
      </x:c>
      <x:c r="J168" s="24" t="n">
        <x:v>0.29686675303446314</x:v>
      </x:c>
      <x:c r="K168" s="24" t="n">
        <x:v>0.49091718869977585</x:v>
      </x:c>
      <x:c r="L168" s="24" t="n">
        <x:v>0.370164</x:v>
      </x:c>
      <x:c r="M168" s="24" t="n">
        <x:v>0.6857821985716887</x:v>
      </x:c>
      <x:c r="N168" s="24" t="n">
        <x:v>0.2950254743074778</x:v>
      </x:c>
      <x:c r="O168" s="24" t="n">
        <x:v>0.4904038364395832</x:v>
      </x:c>
      <x:c r="P168" s="24" t="n">
        <x:v>0.37081</x:v>
      </x:c>
      <x:c r="Q168" s="24"/>
      <x:c r="R168" s="24"/>
      <x:c r="S168" s="24" t="n">
        <x:v>0.697069</x:v>
      </x:c>
      <x:c r="T168" s="24"/>
      <x:c r="U168" s="24" t="n">
        <x:v>0.674855</x:v>
      </x:c>
      <x:c r="V168" s="24"/>
      <x:c r="W168" s="23" t="n">
        <x:v>82</x:v>
      </x:c>
      <x:c r="X168" s="23" t="n">
        <x:v>102</x:v>
      </x:c>
      <x:c r="Y168" s="25" t="n">
        <x:v>29.858</x:v>
      </x:c>
      <x:c r="Z168" s="23" t="str">
        <x:v>benchmark/preprocessing_training/dim_600/lorentz/hnmr/seed_41/ttn/metrics.json</x:v>
      </x:c>
    </x:row>
    <x:row r="169">
      <x:c r="A169" s="23" t="str">
        <x:v>lorentz</x:v>
      </x:c>
      <x:c r="B169" s="23" t="str">
        <x:v>hnmr</x:v>
      </x:c>
      <x:c r="C169" s="23" t="str">
        <x:v>xgboost</x:v>
      </x:c>
      <x:c r="D169" s="23" t="n">
        <x:v>41</x:v>
      </x:c>
      <x:c r="E169" s="23" t="n">
        <x:v>600</x:v>
      </x:c>
      <x:c r="F169" s="23" t="n">
        <x:v>635496</x:v>
      </x:c>
      <x:c r="G169" s="23" t="n">
        <x:v>79450</x:v>
      </x:c>
      <x:c r="H169" s="23" t="n">
        <x:v>79457</x:v>
      </x:c>
      <x:c r="I169" s="24" t="n">
        <x:v>0.7507009861062979</x:v>
      </x:c>
      <x:c r="J169" s="24" t="n">
        <x:v>0.33174376347398193</x:v>
      </x:c>
      <x:c r="K169" s="24" t="n">
        <x:v>0.5412223747901399</x:v>
      </x:c>
      <x:c r="L169" s="24"/>
      <x:c r="M169" s="24" t="n">
        <x:v>0.7514033054973555</x:v>
      </x:c>
      <x:c r="N169" s="24" t="n">
        <x:v>0.3207644087280571</x:v>
      </x:c>
      <x:c r="O169" s="24" t="n">
        <x:v>0.5360838571127062</x:v>
      </x:c>
      <x:c r="P169" s="24"/>
      <x:c r="Q169" s="24"/>
      <x:c r="R169" s="24"/>
      <x:c r="S169" s="24"/>
      <x:c r="T169" s="24"/>
      <x:c r="U169" s="24"/>
      <x:c r="V169" s="24"/>
      <x:c r="W169" s="23"/>
      <x:c r="X169" s="23"/>
      <x:c r="Y169" s="25" t="n">
        <x:v>4.790270722684606</x:v>
      </x:c>
      <x:c r="Z169" s="23" t="str">
        <x:v>benchmark/preprocessing_training/dim_600/lorentz/hnmr/seed_41/xgboost/hnmr/original/metrics.json</x:v>
      </x:c>
    </x:row>
    <x:row r="170">
      <x:c r="A170" s="23" t="str">
        <x:v>lorentz</x:v>
      </x:c>
      <x:c r="B170" s="23" t="str">
        <x:v>ir</x:v>
      </x:c>
      <x:c r="C170" s="23" t="str">
        <x:v>cnn</x:v>
      </x:c>
      <x:c r="D170" s="23" t="n">
        <x:v>41</x:v>
      </x:c>
      <x:c r="E170" s="23" t="n">
        <x:v>600</x:v>
      </x:c>
      <x:c r="F170" s="23" t="n">
        <x:v>635496</x:v>
      </x:c>
      <x:c r="G170" s="23" t="n">
        <x:v>79450</x:v>
      </x:c>
      <x:c r="H170" s="23" t="n">
        <x:v>79457</x:v>
      </x:c>
      <x:c r="I170" s="24" t="n">
        <x:v>0.8671060220947209</x:v>
      </x:c>
      <x:c r="J170" s="24" t="n">
        <x:v>0.6435122847820118</x:v>
      </x:c>
      <x:c r="K170" s="24" t="n">
        <x:v>0.7553091534383664</x:v>
      </x:c>
      <x:c r="L170" s="24" t="n">
        <x:v>0.08948264271020889</x:v>
      </x:c>
      <x:c r="M170" s="24" t="n">
        <x:v>0.8669032903935731</x:v>
      </x:c>
      <x:c r="N170" s="24" t="n">
        <x:v>0.6484367526670614</x:v>
      </x:c>
      <x:c r="O170" s="24" t="n">
        <x:v>0.7576700215303172</x:v>
      </x:c>
      <x:c r="P170" s="24"/>
      <x:c r="Q170" s="24"/>
      <x:c r="R170" s="24"/>
      <x:c r="S170" s="24"/>
      <x:c r="T170" s="24"/>
      <x:c r="U170" s="24"/>
      <x:c r="V170" s="24"/>
      <x:c r="W170" s="23" t="n">
        <x:v>64</x:v>
      </x:c>
      <x:c r="X170" s="23" t="n">
        <x:v>64</x:v>
      </x:c>
      <x:c r="Y170" s="25" t="n">
        <x:v>48.62054197713345</x:v>
      </x:c>
      <x:c r="Z170" s="23" t="str">
        <x:v>benchmark/preprocessing_training/dim_600/lorentz/ir/seed_41/cnn/ir/original/metrics.json</x:v>
      </x:c>
    </x:row>
    <x:row r="171">
      <x:c r="A171" s="23" t="str">
        <x:v>lorentz</x:v>
      </x:c>
      <x:c r="B171" s="23" t="str">
        <x:v>ir</x:v>
      </x:c>
      <x:c r="C171" s="23" t="str">
        <x:v>mps</x:v>
      </x:c>
      <x:c r="D171" s="23" t="n">
        <x:v>41</x:v>
      </x:c>
      <x:c r="E171" s="23" t="n">
        <x:v>600</x:v>
      </x:c>
      <x:c r="F171" s="23"/>
      <x:c r="G171" s="23"/>
      <x:c r="H171" s="23"/>
      <x:c r="I171" s="24" t="n">
        <x:v>0.8334</x:v>
      </x:c>
      <x:c r="J171" s="24" t="n">
        <x:v>0.6769</x:v>
      </x:c>
      <x:c r="K171" s="24" t="n">
        <x:v>0.75515</x:v>
      </x:c>
      <x:c r="L171" s="24" t="n">
        <x:v>3.2499</x:v>
      </x:c>
      <x:c r="M171" s="24" t="n">
        <x:v>0.8336585112489362</x:v>
      </x:c>
      <x:c r="N171" s="24" t="n">
        <x:v>0.666666456986539</x:v>
      </x:c>
      <x:c r="O171" s="24" t="n">
        <x:v>0.7501624841177377</x:v>
      </x:c>
      <x:c r="P171" s="24" t="n">
        <x:v>3.2048</x:v>
      </x:c>
      <x:c r="Q171" s="24" t="n">
        <x:v>0.2308</x:v>
      </x:c>
      <x:c r="R171" s="24" t="n">
        <x:v>0.8373</x:v>
      </x:c>
      <x:c r="S171" s="24" t="n">
        <x:v>0.8431</x:v>
      </x:c>
      <x:c r="T171" s="24" t="n">
        <x:v>0.6766</x:v>
      </x:c>
      <x:c r="U171" s="24" t="n">
        <x:v>0.8244</x:v>
      </x:c>
      <x:c r="V171" s="24" t="n">
        <x:v>0.6651</x:v>
      </x:c>
      <x:c r="W171" s="23" t="n">
        <x:v>155</x:v>
      </x:c>
      <x:c r="X171" s="23" t="n">
        <x:v>155</x:v>
      </x:c>
      <x:c r="Y171" s="25" t="n">
        <x:v>101.1</x:v>
      </x:c>
      <x:c r="Z171" s="23" t="str">
        <x:v>benchmark/preprocessing_training/dim_600/lorentz/ir/seed_41/mps/results/metrics.json</x:v>
      </x:c>
    </x:row>
    <x:row r="172">
      <x:c r="A172" s="23" t="str">
        <x:v>lorentz</x:v>
      </x:c>
      <x:c r="B172" s="23" t="str">
        <x:v>ir</x:v>
      </x:c>
      <x:c r="C172" s="23" t="str">
        <x:v>ttn</x:v>
      </x:c>
      <x:c r="D172" s="23" t="n">
        <x:v>41</x:v>
      </x:c>
      <x:c r="E172" s="23" t="n">
        <x:v>600</x:v>
      </x:c>
      <x:c r="F172" s="23"/>
      <x:c r="G172" s="23"/>
      <x:c r="H172" s="23"/>
      <x:c r="I172" s="24" t="n">
        <x:v>0.8282175707593643</x:v>
      </x:c>
      <x:c r="J172" s="24" t="n">
        <x:v>0.6125633962506412</x:v>
      </x:c>
      <x:c r="K172" s="24" t="n">
        <x:v>0.7203904835050028</x:v>
      </x:c>
      <x:c r="L172" s="24" t="n">
        <x:v>0.187119</x:v>
      </x:c>
      <x:c r="M172" s="24" t="n">
        <x:v>0.8279525553004954</x:v>
      </x:c>
      <x:c r="N172" s="24" t="n">
        <x:v>0.5802079617597975</x:v>
      </x:c>
      <x:c r="O172" s="24" t="n">
        <x:v>0.7040802585301464</x:v>
      </x:c>
      <x:c r="P172" s="24" t="n">
        <x:v>0.186686</x:v>
      </x:c>
      <x:c r="Q172" s="24"/>
      <x:c r="R172" s="24"/>
      <x:c r="S172" s="24" t="n">
        <x:v>0.825565</x:v>
      </x:c>
      <x:c r="T172" s="24"/>
      <x:c r="U172" s="24" t="n">
        <x:v>0.830354</x:v>
      </x:c>
      <x:c r="V172" s="24"/>
      <x:c r="W172" s="23" t="n">
        <x:v>74</x:v>
      </x:c>
      <x:c r="X172" s="23" t="n">
        <x:v>94</x:v>
      </x:c>
      <x:c r="Y172" s="25" t="n">
        <x:v>27.93166666666667</x:v>
      </x:c>
      <x:c r="Z172" s="23" t="str">
        <x:v>benchmark/preprocessing_training/dim_600/lorentz/ir/seed_41/ttn/metrics.json</x:v>
      </x:c>
    </x:row>
    <x:row r="173">
      <x:c r="A173" s="23" t="str">
        <x:v>lorentz</x:v>
      </x:c>
      <x:c r="B173" s="23" t="str">
        <x:v>ir</x:v>
      </x:c>
      <x:c r="C173" s="23" t="str">
        <x:v>xgboost</x:v>
      </x:c>
      <x:c r="D173" s="23" t="n">
        <x:v>41</x:v>
      </x:c>
      <x:c r="E173" s="23" t="n">
        <x:v>600</x:v>
      </x:c>
      <x:c r="F173" s="23" t="n">
        <x:v>635496</x:v>
      </x:c>
      <x:c r="G173" s="23" t="n">
        <x:v>79450</x:v>
      </x:c>
      <x:c r="H173" s="23" t="n">
        <x:v>79457</x:v>
      </x:c>
      <x:c r="I173" s="24" t="n">
        <x:v>0.8241327977979384</x:v>
      </x:c>
      <x:c r="J173" s="24" t="n">
        <x:v>0.5287503284362525</x:v>
      </x:c>
      <x:c r="K173" s="24" t="n">
        <x:v>0.6764415631170955</x:v>
      </x:c>
      <x:c r="L173" s="24"/>
      <x:c r="M173" s="24" t="n">
        <x:v>0.8251684055826854</x:v>
      </x:c>
      <x:c r="N173" s="24" t="n">
        <x:v>0.5227309719527103</x:v>
      </x:c>
      <x:c r="O173" s="24" t="n">
        <x:v>0.6739496887676979</x:v>
      </x:c>
      <x:c r="P173" s="24"/>
      <x:c r="Q173" s="24"/>
      <x:c r="R173" s="24"/>
      <x:c r="S173" s="24"/>
      <x:c r="T173" s="24"/>
      <x:c r="U173" s="24"/>
      <x:c r="V173" s="24"/>
      <x:c r="W173" s="23"/>
      <x:c r="X173" s="23"/>
      <x:c r="Y173" s="25" t="n">
        <x:v>6.7002310203659965</x:v>
      </x:c>
      <x:c r="Z173" s="23" t="str">
        <x:v>benchmark/preprocessing_training/dim_600/lorentz/ir/seed_41/xgboost/ir/original/metrics.json</x:v>
      </x:c>
    </x:row>
    <x:row r="174">
      <x:c r="A174" s="23" t="str">
        <x:v>lorentz</x:v>
      </x:c>
      <x:c r="B174" s="23" t="str">
        <x:v>msms_neg</x:v>
      </x:c>
      <x:c r="C174" s="23" t="str">
        <x:v>cnn</x:v>
      </x:c>
      <x:c r="D174" s="23" t="n">
        <x:v>41</x:v>
      </x:c>
      <x:c r="E174" s="23" t="n">
        <x:v>600</x:v>
      </x:c>
      <x:c r="F174" s="23" t="n">
        <x:v>635496</x:v>
      </x:c>
      <x:c r="G174" s="23" t="n">
        <x:v>79450</x:v>
      </x:c>
      <x:c r="H174" s="23" t="n">
        <x:v>79457</x:v>
      </x:c>
      <x:c r="I174" s="24" t="n">
        <x:v>0.6429150873571282</x:v>
      </x:c>
      <x:c r="J174" s="24" t="n">
        <x:v>0.12181297747575334</x:v>
      </x:c>
      <x:c r="K174" s="24" t="n">
        <x:v>0.3823640324164408</x:v>
      </x:c>
      <x:c r="L174" s="24" t="n">
        <x:v>0.1998971402645111</x:v>
      </x:c>
      <x:c r="M174" s="24" t="n">
        <x:v>0.6436210558838296</x:v>
      </x:c>
      <x:c r="N174" s="24" t="n">
        <x:v>0.12242945015801561</x:v>
      </x:c>
      <x:c r="O174" s="24" t="n">
        <x:v>0.3830252530209226</x:v>
      </x:c>
      <x:c r="P174" s="24"/>
      <x:c r="Q174" s="24"/>
      <x:c r="R174" s="24"/>
      <x:c r="S174" s="24"/>
      <x:c r="T174" s="24"/>
      <x:c r="U174" s="24"/>
      <x:c r="V174" s="24"/>
      <x:c r="W174" s="23" t="n">
        <x:v>9</x:v>
      </x:c>
      <x:c r="X174" s="23" t="n">
        <x:v>34</x:v>
      </x:c>
      <x:c r="Y174" s="25" t="n">
        <x:v>25.878915429883637</x:v>
      </x:c>
      <x:c r="Z174" s="23" t="str">
        <x:v>benchmark/preprocessing_training/dim_600/lorentz/msms_neg/seed_41/cnn/neg_msms/original/metrics.json</x:v>
      </x:c>
    </x:row>
    <x:row r="175">
      <x:c r="A175" s="23" t="str">
        <x:v>lorentz</x:v>
      </x:c>
      <x:c r="B175" s="23" t="str">
        <x:v>msms_neg</x:v>
      </x:c>
      <x:c r="C175" s="23" t="str">
        <x:v>mps</x:v>
      </x:c>
      <x:c r="D175" s="23" t="n">
        <x:v>41</x:v>
      </x:c>
      <x:c r="E175" s="23" t="n">
        <x:v>600</x:v>
      </x:c>
      <x:c r="F175" s="23"/>
      <x:c r="G175" s="23"/>
      <x:c r="H175" s="23"/>
      <x:c r="I175" s="24" t="n">
        <x:v>0.2791</x:v>
      </x:c>
      <x:c r="J175" s="24" t="n">
        <x:v>0.1669</x:v>
      </x:c>
      <x:c r="K175" s="24" t="n">
        <x:v>0.223</x:v>
      </x:c>
      <x:c r="L175" s="24" t="n">
        <x:v>1.1956</x:v>
      </x:c>
      <x:c r="M175" s="24" t="n">
        <x:v>0.278470935643648</x:v>
      </x:c>
      <x:c r="N175" s="24" t="n">
        <x:v>0.16709937836803568</x:v>
      </x:c>
      <x:c r="O175" s="24" t="n">
        <x:v>0.22278515700584184</x:v>
      </x:c>
      <x:c r="P175" s="24" t="n">
        <x:v>1.2071</x:v>
      </x:c>
      <x:c r="Q175" s="24" t="n">
        <x:v>0</x:v>
      </x:c>
      <x:c r="R175" s="24" t="n">
        <x:v>0.5504</x:v>
      </x:c>
      <x:c r="S175" s="24" t="n">
        <x:v>0.1788</x:v>
      </x:c>
      <x:c r="T175" s="24" t="n">
        <x:v>0.1456</x:v>
      </x:c>
      <x:c r="U175" s="24" t="n">
        <x:v>0.6293</x:v>
      </x:c>
      <x:c r="V175" s="24" t="n">
        <x:v>0.5756</x:v>
      </x:c>
      <x:c r="W175" s="23" t="n">
        <x:v>1</x:v>
      </x:c>
      <x:c r="X175" s="23" t="n">
        <x:v>21</x:v>
      </x:c>
      <x:c r="Y175" s="25" t="n">
        <x:v>14.7</x:v>
      </x:c>
      <x:c r="Z175" s="23" t="str">
        <x:v>benchmark/preprocessing_training/dim_600/lorentz/msms_neg/seed_41/mps/results/metrics.json</x:v>
      </x:c>
    </x:row>
    <x:row r="176">
      <x:c r="A176" s="23" t="str">
        <x:v>lorentz</x:v>
      </x:c>
      <x:c r="B176" s="23" t="str">
        <x:v>msms_neg</x:v>
      </x:c>
      <x:c r="C176" s="23" t="str">
        <x:v>ttn</x:v>
      </x:c>
      <x:c r="D176" s="23" t="n">
        <x:v>41</x:v>
      </x:c>
      <x:c r="E176" s="23" t="n">
        <x:v>600</x:v>
      </x:c>
      <x:c r="F176" s="23"/>
      <x:c r="G176" s="23"/>
      <x:c r="H176" s="23"/>
      <x:c r="I176" s="24" t="n">
        <x:v>0.6411723982131275</x:v>
      </x:c>
      <x:c r="J176" s="24" t="n">
        <x:v>0.15118939377282622</x:v>
      </x:c>
      <x:c r="K176" s="24" t="n">
        <x:v>0.3961808959929769</x:v>
      </x:c>
      <x:c r="L176" s="24" t="n">
        <x:v>0.402007</x:v>
      </x:c>
      <x:c r="M176" s="24" t="n">
        <x:v>0.6412620537980037</x:v>
      </x:c>
      <x:c r="N176" s="24" t="n">
        <x:v>0.1500776098783912</x:v>
      </x:c>
      <x:c r="O176" s="24" t="n">
        <x:v>0.3956698318381975</x:v>
      </x:c>
      <x:c r="P176" s="24" t="n">
        <x:v>0.402601</x:v>
      </x:c>
      <x:c r="Q176" s="24"/>
      <x:c r="R176" s="24"/>
      <x:c r="S176" s="24" t="n">
        <x:v>0.718369</x:v>
      </x:c>
      <x:c r="T176" s="24"/>
      <x:c r="U176" s="24" t="n">
        <x:v>0.579103</x:v>
      </x:c>
      <x:c r="V176" s="24"/>
      <x:c r="W176" s="23" t="n">
        <x:v>70</x:v>
      </x:c>
      <x:c r="X176" s="23" t="n">
        <x:v>90</x:v>
      </x:c>
      <x:c r="Y176" s="25" t="n">
        <x:v>26.40983333333333</x:v>
      </x:c>
      <x:c r="Z176" s="23" t="str">
        <x:v>benchmark/preprocessing_training/dim_600/lorentz/msms_neg/seed_41/ttn/metrics.json</x:v>
      </x:c>
    </x:row>
    <x:row r="177">
      <x:c r="A177" s="23" t="str">
        <x:v>lorentz</x:v>
      </x:c>
      <x:c r="B177" s="23" t="str">
        <x:v>msms_neg</x:v>
      </x:c>
      <x:c r="C177" s="23" t="str">
        <x:v>xgboost</x:v>
      </x:c>
      <x:c r="D177" s="23" t="n">
        <x:v>41</x:v>
      </x:c>
      <x:c r="E177" s="23" t="n">
        <x:v>600</x:v>
      </x:c>
      <x:c r="F177" s="23" t="n">
        <x:v>635496</x:v>
      </x:c>
      <x:c r="G177" s="23" t="n">
        <x:v>79450</x:v>
      </x:c>
      <x:c r="H177" s="23" t="n">
        <x:v>79457</x:v>
      </x:c>
      <x:c r="I177" s="24" t="n">
        <x:v>0.6429494876290908</x:v>
      </x:c>
      <x:c r="J177" s="24" t="n">
        <x:v>0.11792943871816688</x:v>
      </x:c>
      <x:c r="K177" s="24" t="n">
        <x:v>0.3804394631736288</x:v>
      </x:c>
      <x:c r="L177" s="24"/>
      <x:c r="M177" s="24" t="n">
        <x:v>0.643379294041073</x:v>
      </x:c>
      <x:c r="N177" s="24" t="n">
        <x:v>0.11721567082014644</x:v>
      </x:c>
      <x:c r="O177" s="24" t="n">
        <x:v>0.3802974824306097</x:v>
      </x:c>
      <x:c r="P177" s="24"/>
      <x:c r="Q177" s="24"/>
      <x:c r="R177" s="24"/>
      <x:c r="S177" s="24"/>
      <x:c r="T177" s="24"/>
      <x:c r="U177" s="24"/>
      <x:c r="V177" s="24"/>
      <x:c r="W177" s="23"/>
      <x:c r="X177" s="23"/>
      <x:c r="Y177" s="25" t="n">
        <x:v>3.6200727460517856</x:v>
      </x:c>
      <x:c r="Z177" s="23" t="str">
        <x:v>benchmark/preprocessing_training/dim_600/lorentz/msms_neg/seed_41/xgboost/neg_msms/original/metrics.json</x:v>
      </x:c>
    </x:row>
    <x:row r="178">
      <x:c r="A178" s="23" t="str">
        <x:v>lorentz</x:v>
      </x:c>
      <x:c r="B178" s="23" t="str">
        <x:v>msms_pos</x:v>
      </x:c>
      <x:c r="C178" s="23" t="str">
        <x:v>cnn</x:v>
      </x:c>
      <x:c r="D178" s="23" t="n">
        <x:v>41</x:v>
      </x:c>
      <x:c r="E178" s="23" t="n">
        <x:v>600</x:v>
      </x:c>
      <x:c r="F178" s="23" t="n">
        <x:v>635496</x:v>
      </x:c>
      <x:c r="G178" s="23" t="n">
        <x:v>79450</x:v>
      </x:c>
      <x:c r="H178" s="23" t="n">
        <x:v>79457</x:v>
      </x:c>
      <x:c r="I178" s="24" t="n">
        <x:v>0.6433162278650606</x:v>
      </x:c>
      <x:c r="J178" s="24" t="n">
        <x:v>0.1130543907865348</x:v>
      </x:c>
      <x:c r="K178" s="24" t="n">
        <x:v>0.3781853093257977</x:v>
      </x:c>
      <x:c r="L178" s="24" t="n">
        <x:v>0.19555841386318207</x:v>
      </x:c>
      <x:c r="M178" s="24" t="n">
        <x:v>0.6425461822757437</x:v>
      </x:c>
      <x:c r="N178" s="24" t="n">
        <x:v>0.11328384806830169</x:v>
      </x:c>
      <x:c r="O178" s="24" t="n">
        <x:v>0.3779150151720227</x:v>
      </x:c>
      <x:c r="P178" s="24"/>
      <x:c r="Q178" s="24"/>
      <x:c r="R178" s="24"/>
      <x:c r="S178" s="24"/>
      <x:c r="T178" s="24"/>
      <x:c r="U178" s="24"/>
      <x:c r="V178" s="24"/>
      <x:c r="W178" s="23" t="n">
        <x:v>33</x:v>
      </x:c>
      <x:c r="X178" s="23" t="n">
        <x:v>33</x:v>
      </x:c>
      <x:c r="Y178" s="25" t="n">
        <x:v>25.141563283865494</x:v>
      </x:c>
      <x:c r="Z178" s="23" t="str">
        <x:v>benchmark/preprocessing_training/dim_600/lorentz/msms_pos/seed_41/cnn/pos_msms/original/metrics.json</x:v>
      </x:c>
    </x:row>
    <x:row r="179">
      <x:c r="A179" s="23" t="str">
        <x:v>lorentz</x:v>
      </x:c>
      <x:c r="B179" s="23" t="str">
        <x:v>msms_pos</x:v>
      </x:c>
      <x:c r="C179" s="23" t="str">
        <x:v>mps</x:v>
      </x:c>
      <x:c r="D179" s="23" t="n">
        <x:v>41</x:v>
      </x:c>
      <x:c r="E179" s="23" t="n">
        <x:v>600</x:v>
      </x:c>
      <x:c r="F179" s="23"/>
      <x:c r="G179" s="23"/>
      <x:c r="H179" s="23"/>
      <x:c r="I179" s="24" t="n">
        <x:v>0.2911</x:v>
      </x:c>
      <x:c r="J179" s="24" t="n">
        <x:v>0.1719</x:v>
      </x:c>
      <x:c r="K179" s="24" t="n">
        <x:v>0.2315</x:v>
      </x:c>
      <x:c r="L179" s="24" t="n">
        <x:v>2.2371</x:v>
      </x:c>
      <x:c r="M179" s="24" t="n">
        <x:v>0.29073220982219405</x:v>
      </x:c>
      <x:c r="N179" s="24" t="n">
        <x:v>0.17190245238735258</x:v>
      </x:c>
      <x:c r="O179" s="24" t="n">
        <x:v>0.23131733110477332</x:v>
      </x:c>
      <x:c r="P179" s="24" t="n">
        <x:v>1.757</x:v>
      </x:c>
      <x:c r="Q179" s="24" t="n">
        <x:v>0</x:v>
      </x:c>
      <x:c r="R179" s="24" t="n">
        <x:v>0.5358</x:v>
      </x:c>
      <x:c r="S179" s="24" t="n">
        <x:v>0.1952</x:v>
      </x:c>
      <x:c r="T179" s="24" t="n">
        <x:v>0.1557</x:v>
      </x:c>
      <x:c r="U179" s="24" t="n">
        <x:v>0.5695</x:v>
      </x:c>
      <x:c r="V179" s="24" t="n">
        <x:v>0.5311</x:v>
      </x:c>
      <x:c r="W179" s="23" t="n">
        <x:v>133</x:v>
      </x:c>
      <x:c r="X179" s="23" t="n">
        <x:v>136</x:v>
      </x:c>
      <x:c r="Y179" s="25" t="n">
        <x:v>92.8</x:v>
      </x:c>
      <x:c r="Z179" s="23" t="str">
        <x:v>benchmark/preprocessing_training/dim_600/lorentz/msms_pos/seed_41/mps/results/metrics.json</x:v>
      </x:c>
    </x:row>
    <x:row r="180">
      <x:c r="A180" s="23" t="str">
        <x:v>lorentz</x:v>
      </x:c>
      <x:c r="B180" s="23" t="str">
        <x:v>msms_pos</x:v>
      </x:c>
      <x:c r="C180" s="23" t="str">
        <x:v>ttn</x:v>
      </x:c>
      <x:c r="D180" s="23" t="n">
        <x:v>41</x:v>
      </x:c>
      <x:c r="E180" s="23" t="n">
        <x:v>600</x:v>
      </x:c>
      <x:c r="F180" s="23"/>
      <x:c r="G180" s="23"/>
      <x:c r="H180" s="23"/>
      <x:c r="I180" s="24" t="n">
        <x:v>0.6420346242766861</x:v>
      </x:c>
      <x:c r="J180" s="24" t="n">
        <x:v>0.14296949750249496</x:v>
      </x:c>
      <x:c r="K180" s="24" t="n">
        <x:v>0.39250206088959055</x:v>
      </x:c>
      <x:c r="L180" s="24" t="n">
        <x:v>0.401103</x:v>
      </x:c>
      <x:c r="M180" s="24" t="n">
        <x:v>0.6418547461205141</x:v>
      </x:c>
      <x:c r="N180" s="24" t="n">
        <x:v>0.1431161833960865</x:v>
      </x:c>
      <x:c r="O180" s="24" t="n">
        <x:v>0.39248546475830026</x:v>
      </x:c>
      <x:c r="P180" s="24" t="n">
        <x:v>0.401368</x:v>
      </x:c>
      <x:c r="Q180" s="24"/>
      <x:c r="R180" s="24"/>
      <x:c r="S180" s="24" t="n">
        <x:v>0.733388</x:v>
      </x:c>
      <x:c r="T180" s="24"/>
      <x:c r="U180" s="24" t="n">
        <x:v>0.570635</x:v>
      </x:c>
      <x:c r="V180" s="24"/>
      <x:c r="W180" s="23" t="n">
        <x:v>4</x:v>
      </x:c>
      <x:c r="X180" s="23" t="n">
        <x:v>50</x:v>
      </x:c>
      <x:c r="Y180" s="25" t="n">
        <x:v>14.5505</x:v>
      </x:c>
      <x:c r="Z180" s="23" t="str">
        <x:v>benchmark/preprocessing_training/dim_600/lorentz/msms_pos/seed_41/ttn/metrics.json</x:v>
      </x:c>
    </x:row>
    <x:row r="181">
      <x:c r="A181" s="23" t="str">
        <x:v>lorentz</x:v>
      </x:c>
      <x:c r="B181" s="23" t="str">
        <x:v>msms_pos</x:v>
      </x:c>
      <x:c r="C181" s="23" t="str">
        <x:v>xgboost</x:v>
      </x:c>
      <x:c r="D181" s="23" t="n">
        <x:v>41</x:v>
      </x:c>
      <x:c r="E181" s="23" t="n">
        <x:v>600</x:v>
      </x:c>
      <x:c r="F181" s="23" t="n">
        <x:v>635496</x:v>
      </x:c>
      <x:c r="G181" s="23" t="n">
        <x:v>79450</x:v>
      </x:c>
      <x:c r="H181" s="23" t="n">
        <x:v>79457</x:v>
      </x:c>
      <x:c r="I181" s="24" t="n">
        <x:v>0.6401614511700011</x:v>
      </x:c>
      <x:c r="J181" s="24" t="n">
        <x:v>0.10779464440242692</x:v>
      </x:c>
      <x:c r="K181" s="24" t="n">
        <x:v>0.373978047786214</x:v>
      </x:c>
      <x:c r="L181" s="24"/>
      <x:c r="M181" s="24" t="n">
        <x:v>0.6393108438977554</x:v>
      </x:c>
      <x:c r="N181" s="24" t="n">
        <x:v>0.10783061011987495</x:v>
      </x:c>
      <x:c r="O181" s="24" t="n">
        <x:v>0.37357072700881516</x:v>
      </x:c>
      <x:c r="P181" s="24"/>
      <x:c r="Q181" s="24"/>
      <x:c r="R181" s="24"/>
      <x:c r="S181" s="24"/>
      <x:c r="T181" s="24"/>
      <x:c r="U181" s="24"/>
      <x:c r="V181" s="24"/>
      <x:c r="W181" s="23"/>
      <x:c r="X181" s="23"/>
      <x:c r="Y181" s="25" t="n">
        <x:v>5.832066892848039</x:v>
      </x:c>
      <x:c r="Z181" s="23" t="str">
        <x:v>benchmark/preprocessing_training/dim_600/lorentz/msms_pos/seed_41/xgboost/pos_msms/original/metrics.json</x:v>
      </x:c>
    </x:row>
    <x:row r="182">
      <x:c r="A182" s="23" t="str">
        <x:v>max</x:v>
      </x:c>
      <x:c r="B182" s="23" t="str">
        <x:v>cnmr</x:v>
      </x:c>
      <x:c r="C182" s="23" t="str">
        <x:v>cnn</x:v>
      </x:c>
      <x:c r="D182" s="23" t="n">
        <x:v>41</x:v>
      </x:c>
      <x:c r="E182" s="23" t="n">
        <x:v>600</x:v>
      </x:c>
      <x:c r="F182" s="23" t="n">
        <x:v>635496</x:v>
      </x:c>
      <x:c r="G182" s="23" t="n">
        <x:v>79450</x:v>
      </x:c>
      <x:c r="H182" s="23" t="n">
        <x:v>79457</x:v>
      </x:c>
      <x:c r="I182" s="24" t="n">
        <x:v>0.7047041060696673</x:v>
      </x:c>
      <x:c r="J182" s="24" t="n">
        <x:v>0.21152480416443967</x:v>
      </x:c>
      <x:c r="K182" s="24" t="n">
        <x:v>0.45811445511705345</x:v>
      </x:c>
      <x:c r="L182" s="24" t="n">
        <x:v>0.18287386000156403</x:v>
      </x:c>
      <x:c r="M182" s="24" t="n">
        <x:v>0.7043782602282327</x:v>
      </x:c>
      <x:c r="N182" s="24" t="n">
        <x:v>0.21251084930498254</x:v>
      </x:c>
      <x:c r="O182" s="24" t="n">
        <x:v>0.4584445547666076</x:v>
      </x:c>
      <x:c r="P182" s="24"/>
      <x:c r="Q182" s="24"/>
      <x:c r="R182" s="24"/>
      <x:c r="S182" s="24"/>
      <x:c r="T182" s="24"/>
      <x:c r="U182" s="24"/>
      <x:c r="V182" s="24"/>
      <x:c r="W182" s="23" t="n">
        <x:v>22</x:v>
      </x:c>
      <x:c r="X182" s="23" t="n">
        <x:v>42</x:v>
      </x:c>
      <x:c r="Y182" s="25" t="n">
        <x:v>28.960479862516515</x:v>
      </x:c>
      <x:c r="Z182" s="23" t="str">
        <x:v>benchmark/preprocessing_training/dim_600/max/cnmr/seed_41/cnn/cnmr/original/metrics.json</x:v>
      </x:c>
    </x:row>
    <x:row r="183">
      <x:c r="A183" s="23" t="str">
        <x:v>max</x:v>
      </x:c>
      <x:c r="B183" s="23" t="str">
        <x:v>cnmr</x:v>
      </x:c>
      <x:c r="C183" s="23" t="str">
        <x:v>mps</x:v>
      </x:c>
      <x:c r="D183" s="23" t="n">
        <x:v>41</x:v>
      </x:c>
      <x:c r="E183" s="23" t="n">
        <x:v>600</x:v>
      </x:c>
      <x:c r="F183" s="23"/>
      <x:c r="G183" s="23"/>
      <x:c r="H183" s="23"/>
      <x:c r="I183" s="24" t="n">
        <x:v>0.6679</x:v>
      </x:c>
      <x:c r="J183" s="24" t="n">
        <x:v>0.3497</x:v>
      </x:c>
      <x:c r="K183" s="24" t="n">
        <x:v>0.5088</x:v>
      </x:c>
      <x:c r="L183" s="24" t="n">
        <x:v>11.3008</x:v>
      </x:c>
      <x:c r="M183" s="24" t="n">
        <x:v>0.6681722181846561</x:v>
      </x:c>
      <x:c r="N183" s="24" t="n">
        <x:v>0.349938024159798</x:v>
      </x:c>
      <x:c r="O183" s="24" t="n">
        <x:v>0.5090551211722271</x:v>
      </x:c>
      <x:c r="P183" s="24" t="n">
        <x:v>11.081</x:v>
      </x:c>
      <x:c r="Q183" s="24" t="n">
        <x:v>0.0421</x:v>
      </x:c>
      <x:c r="R183" s="24" t="n">
        <x:v>0.695</x:v>
      </x:c>
      <x:c r="S183" s="24" t="n">
        <x:v>0.6221</x:v>
      </x:c>
      <x:c r="T183" s="24" t="n">
        <x:v>0.3342</x:v>
      </x:c>
      <x:c r="U183" s="24" t="n">
        <x:v>0.7217</x:v>
      </x:c>
      <x:c r="V183" s="24" t="n">
        <x:v>0.3828</x:v>
      </x:c>
      <x:c r="W183" s="23" t="n">
        <x:v>175</x:v>
      </x:c>
      <x:c r="X183" s="23" t="n">
        <x:v>184</x:v>
      </x:c>
      <x:c r="Y183" s="25" t="n">
        <x:v>259.2</x:v>
      </x:c>
      <x:c r="Z183" s="23" t="str">
        <x:v>benchmark/preprocessing_training/dim_600/max/cnmr/seed_41/mps/results/metrics.json</x:v>
      </x:c>
    </x:row>
    <x:row r="184">
      <x:c r="A184" s="23" t="str">
        <x:v>max</x:v>
      </x:c>
      <x:c r="B184" s="23" t="str">
        <x:v>cnmr</x:v>
      </x:c>
      <x:c r="C184" s="23" t="str">
        <x:v>ttn</x:v>
      </x:c>
      <x:c r="D184" s="23" t="n">
        <x:v>41</x:v>
      </x:c>
      <x:c r="E184" s="23" t="n">
        <x:v>600</x:v>
      </x:c>
      <x:c r="F184" s="23"/>
      <x:c r="G184" s="23"/>
      <x:c r="H184" s="23"/>
      <x:c r="I184" s="24" t="n">
        <x:v>0.7154535188471415</x:v>
      </x:c>
      <x:c r="J184" s="24" t="n">
        <x:v>0.33234122042942527</x:v>
      </x:c>
      <x:c r="K184" s="24" t="n">
        <x:v>0.5238973696382834</x:v>
      </x:c>
      <x:c r="L184" s="24" t="n">
        <x:v>0.320743</x:v>
      </x:c>
      <x:c r="M184" s="24" t="n">
        <x:v>0.7159323431906985</x:v>
      </x:c>
      <x:c r="N184" s="24" t="n">
        <x:v>0.3291361533197521</x:v>
      </x:c>
      <x:c r="O184" s="24" t="n">
        <x:v>0.5225342482552253</x:v>
      </x:c>
      <x:c r="P184" s="24" t="n">
        <x:v>0.320399</x:v>
      </x:c>
      <x:c r="Q184" s="24"/>
      <x:c r="R184" s="24"/>
      <x:c r="S184" s="24" t="n">
        <x:v>0.718544</x:v>
      </x:c>
      <x:c r="T184" s="24"/>
      <x:c r="U184" s="24" t="n">
        <x:v>0.713339</x:v>
      </x:c>
      <x:c r="V184" s="24"/>
      <x:c r="W184" s="23" t="n">
        <x:v>25</x:v>
      </x:c>
      <x:c r="X184" s="23" t="n">
        <x:v>53</x:v>
      </x:c>
      <x:c r="Y184" s="25" t="n">
        <x:v>16.070666666666668</x:v>
      </x:c>
      <x:c r="Z184" s="23" t="str">
        <x:v>benchmark/preprocessing_training/dim_600/max/cnmr/seed_41/ttn/metrics.json</x:v>
      </x:c>
    </x:row>
    <x:row r="185">
      <x:c r="A185" s="23" t="str">
        <x:v>max</x:v>
      </x:c>
      <x:c r="B185" s="23" t="str">
        <x:v>cnmr</x:v>
      </x:c>
      <x:c r="C185" s="23" t="str">
        <x:v>xgboost</x:v>
      </x:c>
      <x:c r="D185" s="23" t="n">
        <x:v>41</x:v>
      </x:c>
      <x:c r="E185" s="23" t="n">
        <x:v>600</x:v>
      </x:c>
      <x:c r="F185" s="23" t="n">
        <x:v>635496</x:v>
      </x:c>
      <x:c r="G185" s="23" t="n">
        <x:v>79450</x:v>
      </x:c>
      <x:c r="H185" s="23" t="n">
        <x:v>79457</x:v>
      </x:c>
      <x:c r="I185" s="24" t="n">
        <x:v>0.7732990698518436</x:v>
      </x:c>
      <x:c r="J185" s="24" t="n">
        <x:v>0.35886844521723776</x:v>
      </x:c>
      <x:c r="K185" s="24" t="n">
        <x:v>0.5660837575345407</x:v>
      </x:c>
      <x:c r="L185" s="24"/>
      <x:c r="M185" s="24" t="n">
        <x:v>0.7733421525529884</x:v>
      </x:c>
      <x:c r="N185" s="24" t="n">
        <x:v>0.34920774669822974</x:v>
      </x:c>
      <x:c r="O185" s="24" t="n">
        <x:v>0.5612749496256091</x:v>
      </x:c>
      <x:c r="P185" s="24"/>
      <x:c r="Q185" s="24"/>
      <x:c r="R185" s="24"/>
      <x:c r="S185" s="24"/>
      <x:c r="T185" s="24"/>
      <x:c r="U185" s="24"/>
      <x:c r="V185" s="24"/>
      <x:c r="W185" s="23"/>
      <x:c r="X185" s="23"/>
      <x:c r="Y185" s="25" t="n">
        <x:v>5.1715365571338525</x:v>
      </x:c>
      <x:c r="Z185" s="23" t="str">
        <x:v>benchmark/preprocessing_training/dim_600/max/cnmr/seed_41/xgboost/cnmr/original/metrics.json</x:v>
      </x:c>
    </x:row>
    <x:row r="186">
      <x:c r="A186" s="23" t="str">
        <x:v>max</x:v>
      </x:c>
      <x:c r="B186" s="23" t="str">
        <x:v>hnmr</x:v>
      </x:c>
      <x:c r="C186" s="23" t="str">
        <x:v>cnn</x:v>
      </x:c>
      <x:c r="D186" s="23" t="n">
        <x:v>41</x:v>
      </x:c>
      <x:c r="E186" s="23" t="n">
        <x:v>600</x:v>
      </x:c>
      <x:c r="F186" s="23" t="n">
        <x:v>635496</x:v>
      </x:c>
      <x:c r="G186" s="23" t="n">
        <x:v>79450</x:v>
      </x:c>
      <x:c r="H186" s="23" t="n">
        <x:v>79457</x:v>
      </x:c>
      <x:c r="I186" s="24" t="n">
        <x:v>0.7512421647238214</x:v>
      </x:c>
      <x:c r="J186" s="24" t="n">
        <x:v>0.31612441681914205</x:v>
      </x:c>
      <x:c r="K186" s="24" t="n">
        <x:v>0.5336832907714817</x:v>
      </x:c>
      <x:c r="L186" s="24" t="n">
        <x:v>0.15814432501792908</x:v>
      </x:c>
      <x:c r="M186" s="24" t="n">
        <x:v>0.7511844408558856</x:v>
      </x:c>
      <x:c r="N186" s="24" t="n">
        <x:v>0.3141811385380825</x:v>
      </x:c>
      <x:c r="O186" s="24" t="n">
        <x:v>0.5326827896969841</x:v>
      </x:c>
      <x:c r="P186" s="24"/>
      <x:c r="Q186" s="24"/>
      <x:c r="R186" s="24"/>
      <x:c r="S186" s="24"/>
      <x:c r="T186" s="24"/>
      <x:c r="U186" s="24"/>
      <x:c r="V186" s="24"/>
      <x:c r="W186" s="23" t="n">
        <x:v>25</x:v>
      </x:c>
      <x:c r="X186" s="23" t="n">
        <x:v>45</x:v>
      </x:c>
      <x:c r="Y186" s="25" t="n">
        <x:v>37.30130261989931</x:v>
      </x:c>
      <x:c r="Z186" s="23" t="str">
        <x:v>benchmark/preprocessing_training/dim_600/max/hnmr/seed_41/cnn/hnmr/original/metrics.json</x:v>
      </x:c>
    </x:row>
    <x:row r="187">
      <x:c r="A187" s="23" t="str">
        <x:v>max</x:v>
      </x:c>
      <x:c r="B187" s="23" t="str">
        <x:v>hnmr</x:v>
      </x:c>
      <x:c r="C187" s="23" t="str">
        <x:v>mps</x:v>
      </x:c>
      <x:c r="D187" s="23" t="n">
        <x:v>41</x:v>
      </x:c>
      <x:c r="E187" s="23" t="n">
        <x:v>600</x:v>
      </x:c>
      <x:c r="F187" s="23"/>
      <x:c r="G187" s="23"/>
      <x:c r="H187" s="23"/>
      <x:c r="I187" s="24" t="n">
        <x:v>0.7012</x:v>
      </x:c>
      <x:c r="J187" s="24" t="n">
        <x:v>0.3719</x:v>
      </x:c>
      <x:c r="K187" s="24" t="n">
        <x:v>0.5365500000000001</x:v>
      </x:c>
      <x:c r="L187" s="24" t="n">
        <x:v>10.6713</x:v>
      </x:c>
      <x:c r="M187" s="24" t="n">
        <x:v>0.7011714267832182</x:v>
      </x:c>
      <x:c r="N187" s="24" t="n">
        <x:v>0.3650554921691385</x:v>
      </x:c>
      <x:c r="O187" s="24" t="n">
        <x:v>0.5331134594761784</x:v>
      </x:c>
      <x:c r="P187" s="24" t="n">
        <x:v>10.4498</x:v>
      </x:c>
      <x:c r="Q187" s="24" t="n">
        <x:v>0.0794</x:v>
      </x:c>
      <x:c r="R187" s="24" t="n">
        <x:v>0.7069</x:v>
      </x:c>
      <x:c r="S187" s="24" t="n">
        <x:v>0.6942</x:v>
      </x:c>
      <x:c r="T187" s="24" t="n">
        <x:v>0.3907</x:v>
      </x:c>
      <x:c r="U187" s="24" t="n">
        <x:v>0.7082</x:v>
      </x:c>
      <x:c r="V187" s="24" t="n">
        <x:v>0.3523</x:v>
      </x:c>
      <x:c r="W187" s="23" t="n">
        <x:v>158</x:v>
      </x:c>
      <x:c r="X187" s="23" t="n">
        <x:v>167</x:v>
      </x:c>
      <x:c r="Y187" s="25" t="n">
        <x:v>112.7</x:v>
      </x:c>
      <x:c r="Z187" s="23" t="str">
        <x:v>benchmark/preprocessing_training/dim_600/max/hnmr/seed_41/mps/results/metrics.json</x:v>
      </x:c>
    </x:row>
    <x:row r="188">
      <x:c r="A188" s="23" t="str">
        <x:v>max</x:v>
      </x:c>
      <x:c r="B188" s="23" t="str">
        <x:v>hnmr</x:v>
      </x:c>
      <x:c r="C188" s="23" t="str">
        <x:v>ttn</x:v>
      </x:c>
      <x:c r="D188" s="23" t="n">
        <x:v>41</x:v>
      </x:c>
      <x:c r="E188" s="23" t="n">
        <x:v>600</x:v>
      </x:c>
      <x:c r="F188" s="23"/>
      <x:c r="G188" s="23"/>
      <x:c r="H188" s="23"/>
      <x:c r="I188" s="24" t="n">
        <x:v>0.6903627741395572</x:v>
      </x:c>
      <x:c r="J188" s="24" t="n">
        <x:v>0.3082411398718396</x:v>
      </x:c>
      <x:c r="K188" s="24" t="n">
        <x:v>0.49930195700569835</x:v>
      </x:c>
      <x:c r="L188" s="24" t="n">
        <x:v>0.37353</x:v>
      </x:c>
      <x:c r="M188" s="24" t="n">
        <x:v>0.6899887451283149</x:v>
      </x:c>
      <x:c r="N188" s="24" t="n">
        <x:v>0.30279515576926447</x:v>
      </x:c>
      <x:c r="O188" s="24" t="n">
        <x:v>0.4963919504487897</x:v>
      </x:c>
      <x:c r="P188" s="24" t="n">
        <x:v>0.372618</x:v>
      </x:c>
      <x:c r="Q188" s="24"/>
      <x:c r="R188" s="24"/>
      <x:c r="S188" s="24" t="n">
        <x:v>0.696197</x:v>
      </x:c>
      <x:c r="T188" s="24"/>
      <x:c r="U188" s="24" t="n">
        <x:v>0.68389</x:v>
      </x:c>
      <x:c r="V188" s="24"/>
      <x:c r="W188" s="23" t="n">
        <x:v>46</x:v>
      </x:c>
      <x:c r="X188" s="23" t="n">
        <x:v>66</x:v>
      </x:c>
      <x:c r="Y188" s="25" t="n">
        <x:v>20.919666666666668</x:v>
      </x:c>
      <x:c r="Z188" s="23" t="str">
        <x:v>benchmark/preprocessing_training/dim_600/max/hnmr/seed_41/ttn/metrics.json</x:v>
      </x:c>
    </x:row>
    <x:row r="189">
      <x:c r="A189" s="23" t="str">
        <x:v>max</x:v>
      </x:c>
      <x:c r="B189" s="23" t="str">
        <x:v>hnmr</x:v>
      </x:c>
      <x:c r="C189" s="23" t="str">
        <x:v>xgboost</x:v>
      </x:c>
      <x:c r="D189" s="23" t="n">
        <x:v>41</x:v>
      </x:c>
      <x:c r="E189" s="23" t="n">
        <x:v>600</x:v>
      </x:c>
      <x:c r="F189" s="23" t="n">
        <x:v>635496</x:v>
      </x:c>
      <x:c r="G189" s="23" t="n">
        <x:v>79450</x:v>
      </x:c>
      <x:c r="H189" s="23" t="n">
        <x:v>79457</x:v>
      </x:c>
      <x:c r="I189" s="24" t="n">
        <x:v>0.74681195788966</x:v>
      </x:c>
      <x:c r="J189" s="24" t="n">
        <x:v>0.3192173249026401</x:v>
      </x:c>
      <x:c r="K189" s="24" t="n">
        <x:v>0.5330146413961501</x:v>
      </x:c>
      <x:c r="L189" s="24"/>
      <x:c r="M189" s="24" t="n">
        <x:v>0.7474279199254391</x:v>
      </x:c>
      <x:c r="N189" s="24" t="n">
        <x:v>0.30660818335897455</x:v>
      </x:c>
      <x:c r="O189" s="24" t="n">
        <x:v>0.5270180516422068</x:v>
      </x:c>
      <x:c r="P189" s="24"/>
      <x:c r="Q189" s="24"/>
      <x:c r="R189" s="24"/>
      <x:c r="S189" s="24"/>
      <x:c r="T189" s="24"/>
      <x:c r="U189" s="24"/>
      <x:c r="V189" s="24"/>
      <x:c r="W189" s="23"/>
      <x:c r="X189" s="23"/>
      <x:c r="Y189" s="25" t="n">
        <x:v>11.863474239816423</x:v>
      </x:c>
      <x:c r="Z189" s="23" t="str">
        <x:v>benchmark/preprocessing_training/dim_600/max/hnmr/seed_41/xgboost/hnmr/original/metrics.json</x:v>
      </x:c>
    </x:row>
    <x:row r="190">
      <x:c r="A190" s="23" t="str">
        <x:v>max</x:v>
      </x:c>
      <x:c r="B190" s="23" t="str">
        <x:v>ir</x:v>
      </x:c>
      <x:c r="C190" s="23" t="str">
        <x:v>cnn</x:v>
      </x:c>
      <x:c r="D190" s="23" t="n">
        <x:v>41</x:v>
      </x:c>
      <x:c r="E190" s="23" t="n">
        <x:v>600</x:v>
      </x:c>
      <x:c r="F190" s="23" t="n">
        <x:v>635496</x:v>
      </x:c>
      <x:c r="G190" s="23" t="n">
        <x:v>79450</x:v>
      </x:c>
      <x:c r="H190" s="23" t="n">
        <x:v>79457</x:v>
      </x:c>
      <x:c r="I190" s="24" t="n">
        <x:v>0.8896021639537874</x:v>
      </x:c>
      <x:c r="J190" s="24" t="n">
        <x:v>0.6585360265247442</x:v>
      </x:c>
      <x:c r="K190" s="24" t="n">
        <x:v>0.7740690952392658</x:v>
      </x:c>
      <x:c r="L190" s="24" t="n">
        <x:v>0.07272174209356308</x:v>
      </x:c>
      <x:c r="M190" s="24" t="n">
        <x:v>0.8899877836758348</x:v>
      </x:c>
      <x:c r="N190" s="24" t="n">
        <x:v>0.665519151324364</x:v>
      </x:c>
      <x:c r="O190" s="24" t="n">
        <x:v>0.7777534675000994</x:v>
      </x:c>
      <x:c r="P190" s="24"/>
      <x:c r="Q190" s="24"/>
      <x:c r="R190" s="24"/>
      <x:c r="S190" s="24"/>
      <x:c r="T190" s="24"/>
      <x:c r="U190" s="24"/>
      <x:c r="V190" s="24"/>
      <x:c r="W190" s="23" t="n">
        <x:v>38</x:v>
      </x:c>
      <x:c r="X190" s="23" t="n">
        <x:v>41</x:v>
      </x:c>
      <x:c r="Y190" s="25" t="n">
        <x:v>35.04642253704951</x:v>
      </x:c>
      <x:c r="Z190" s="23" t="str">
        <x:v>benchmark/preprocessing_training/dim_600/max/ir/seed_41/cnn/ir/original/metrics.json</x:v>
      </x:c>
    </x:row>
    <x:row r="191">
      <x:c r="A191" s="23" t="str">
        <x:v>max</x:v>
      </x:c>
      <x:c r="B191" s="23" t="str">
        <x:v>ir</x:v>
      </x:c>
      <x:c r="C191" s="23" t="str">
        <x:v>mps</x:v>
      </x:c>
      <x:c r="D191" s="23" t="n">
        <x:v>41</x:v>
      </x:c>
      <x:c r="E191" s="23" t="n">
        <x:v>600</x:v>
      </x:c>
      <x:c r="F191" s="23"/>
      <x:c r="G191" s="23"/>
      <x:c r="H191" s="23"/>
      <x:c r="I191" s="24" t="n">
        <x:v>0.8416</x:v>
      </x:c>
      <x:c r="J191" s="24" t="n">
        <x:v>0.6757</x:v>
      </x:c>
      <x:c r="K191" s="24" t="n">
        <x:v>0.75865</x:v>
      </x:c>
      <x:c r="L191" s="24" t="n">
        <x:v>4.0177</x:v>
      </x:c>
      <x:c r="M191" s="24" t="n">
        <x:v>0.8420232237320907</x:v>
      </x:c>
      <x:c r="N191" s="24" t="n">
        <x:v>0.6768764698250904</x:v>
      </x:c>
      <x:c r="O191" s="24" t="n">
        <x:v>0.7594498467785906</x:v>
      </x:c>
      <x:c r="P191" s="24" t="n">
        <x:v>3.8171</x:v>
      </x:c>
      <x:c r="Q191" s="24" t="n">
        <x:v>0.2562</x:v>
      </x:c>
      <x:c r="R191" s="24" t="n">
        <x:v>0.8409</x:v>
      </x:c>
      <x:c r="S191" s="24" t="n">
        <x:v>0.8689</x:v>
      </x:c>
      <x:c r="T191" s="24" t="n">
        <x:v>0.743</x:v>
      </x:c>
      <x:c r="U191" s="24" t="n">
        <x:v>0.8168</x:v>
      </x:c>
      <x:c r="V191" s="24" t="n">
        <x:v>0.6426</x:v>
      </x:c>
      <x:c r="W191" s="23" t="n">
        <x:v>105</x:v>
      </x:c>
      <x:c r="X191" s="23" t="n">
        <x:v>107</x:v>
      </x:c>
      <x:c r="Y191" s="25" t="n">
        <x:v>71.9</x:v>
      </x:c>
      <x:c r="Z191" s="23" t="str">
        <x:v>benchmark/preprocessing_training/dim_600/max/ir/seed_41/mps/results/metrics.json</x:v>
      </x:c>
    </x:row>
    <x:row r="192">
      <x:c r="A192" s="23" t="str">
        <x:v>max</x:v>
      </x:c>
      <x:c r="B192" s="23" t="str">
        <x:v>ir</x:v>
      </x:c>
      <x:c r="C192" s="23" t="str">
        <x:v>ttn</x:v>
      </x:c>
      <x:c r="D192" s="23" t="n">
        <x:v>41</x:v>
      </x:c>
      <x:c r="E192" s="23" t="n">
        <x:v>600</x:v>
      </x:c>
      <x:c r="F192" s="23"/>
      <x:c r="G192" s="23"/>
      <x:c r="H192" s="23"/>
      <x:c r="I192" s="24" t="n">
        <x:v>0.8330538553616741</x:v>
      </x:c>
      <x:c r="J192" s="24" t="n">
        <x:v>0.6012170270595785</x:v>
      </x:c>
      <x:c r="K192" s="24" t="n">
        <x:v>0.7171354412106263</x:v>
      </x:c>
      <x:c r="L192" s="24" t="n">
        <x:v>0.216438</x:v>
      </x:c>
      <x:c r="M192" s="24" t="n">
        <x:v>0.8333294224697364</x:v>
      </x:c>
      <x:c r="N192" s="24" t="n">
        <x:v>0.5940636823733325</x:v>
      </x:c>
      <x:c r="O192" s="24" t="n">
        <x:v>0.7136965524215344</x:v>
      </x:c>
      <x:c r="P192" s="24" t="n">
        <x:v>0.216626</x:v>
      </x:c>
      <x:c r="Q192" s="24"/>
      <x:c r="R192" s="24"/>
      <x:c r="S192" s="24" t="n">
        <x:v>0.82492</x:v>
      </x:c>
      <x:c r="T192" s="24"/>
      <x:c r="U192" s="24" t="n">
        <x:v>0.841912</x:v>
      </x:c>
      <x:c r="V192" s="24"/>
      <x:c r="W192" s="23" t="n">
        <x:v>69</x:v>
      </x:c>
      <x:c r="X192" s="23" t="n">
        <x:v>89</x:v>
      </x:c>
      <x:c r="Y192" s="25" t="n">
        <x:v>25.565833333333334</x:v>
      </x:c>
      <x:c r="Z192" s="23" t="str">
        <x:v>benchmark/preprocessing_training/dim_600/max/ir/seed_41/ttn/metrics.json</x:v>
      </x:c>
    </x:row>
    <x:row r="193">
      <x:c r="A193" s="23" t="str">
        <x:v>max</x:v>
      </x:c>
      <x:c r="B193" s="23" t="str">
        <x:v>ir</x:v>
      </x:c>
      <x:c r="C193" s="23" t="str">
        <x:v>xgboost</x:v>
      </x:c>
      <x:c r="D193" s="23" t="n">
        <x:v>41</x:v>
      </x:c>
      <x:c r="E193" s="23" t="n">
        <x:v>600</x:v>
      </x:c>
      <x:c r="F193" s="23" t="n">
        <x:v>635496</x:v>
      </x:c>
      <x:c r="G193" s="23" t="n">
        <x:v>79450</x:v>
      </x:c>
      <x:c r="H193" s="23" t="n">
        <x:v>79457</x:v>
      </x:c>
      <x:c r="I193" s="24" t="n">
        <x:v>0.8347293110499807</x:v>
      </x:c>
      <x:c r="J193" s="24" t="n">
        <x:v>0.5439890866946716</x:v>
      </x:c>
      <x:c r="K193" s="24" t="n">
        <x:v>0.6893591988723262</x:v>
      </x:c>
      <x:c r="L193" s="24"/>
      <x:c r="M193" s="24" t="n">
        <x:v>0.835285762511959</x:v>
      </x:c>
      <x:c r="N193" s="24" t="n">
        <x:v>0.5386188663129623</x:v>
      </x:c>
      <x:c r="O193" s="24" t="n">
        <x:v>0.6869523144124606</x:v>
      </x:c>
      <x:c r="P193" s="24"/>
      <x:c r="Q193" s="24"/>
      <x:c r="R193" s="24"/>
      <x:c r="S193" s="24"/>
      <x:c r="T193" s="24"/>
      <x:c r="U193" s="24"/>
      <x:c r="V193" s="24"/>
      <x:c r="W193" s="23"/>
      <x:c r="X193" s="23"/>
      <x:c r="Y193" s="25" t="n">
        <x:v>27.27287195044919</x:v>
      </x:c>
      <x:c r="Z193" s="23" t="str">
        <x:v>benchmark/preprocessing_training/dim_600/max/ir/seed_41/xgboost/ir/original/metrics.json</x:v>
      </x:c>
    </x:row>
    <x:row r="194">
      <x:c r="A194" s="23" t="str">
        <x:v>max</x:v>
      </x:c>
      <x:c r="B194" s="23" t="str">
        <x:v>msms_neg</x:v>
      </x:c>
      <x:c r="C194" s="23" t="str">
        <x:v>cnn</x:v>
      </x:c>
      <x:c r="D194" s="23" t="n">
        <x:v>41</x:v>
      </x:c>
      <x:c r="E194" s="23" t="n">
        <x:v>600</x:v>
      </x:c>
      <x:c r="F194" s="23" t="n">
        <x:v>635496</x:v>
      </x:c>
      <x:c r="G194" s="23" t="n">
        <x:v>79450</x:v>
      </x:c>
      <x:c r="H194" s="23" t="n">
        <x:v>79457</x:v>
      </x:c>
      <x:c r="I194" s="24" t="n">
        <x:v>0.6253774591059198</x:v>
      </x:c>
      <x:c r="J194" s="24" t="n">
        <x:v>0.10844150552113624</x:v>
      </x:c>
      <x:c r="K194" s="24" t="n">
        <x:v>0.36690948231352805</x:v>
      </x:c>
      <x:c r="L194" s="24" t="n">
        <x:v>0.21598784625530243</x:v>
      </x:c>
      <x:c r="M194" s="24" t="n">
        <x:v>0.6255627355777419</x:v>
      </x:c>
      <x:c r="N194" s="24" t="n">
        <x:v>0.10867745642437475</x:v>
      </x:c>
      <x:c r="O194" s="24" t="n">
        <x:v>0.3671200960010583</x:v>
      </x:c>
      <x:c r="P194" s="24"/>
      <x:c r="Q194" s="24"/>
      <x:c r="R194" s="24"/>
      <x:c r="S194" s="24"/>
      <x:c r="T194" s="24"/>
      <x:c r="U194" s="24"/>
      <x:c r="V194" s="24"/>
      <x:c r="W194" s="23" t="n">
        <x:v>12</x:v>
      </x:c>
      <x:c r="X194" s="23" t="n">
        <x:v>29</x:v>
      </x:c>
      <x:c r="Y194" s="25" t="n">
        <x:v>24.05369251850061</x:v>
      </x:c>
      <x:c r="Z194" s="23" t="str">
        <x:v>benchmark/preprocessing_training/dim_600/max/msms_neg/seed_41/cnn/neg_msms/original/metrics.json</x:v>
      </x:c>
    </x:row>
    <x:row r="195">
      <x:c r="A195" s="23" t="str">
        <x:v>max</x:v>
      </x:c>
      <x:c r="B195" s="23" t="str">
        <x:v>msms_neg</x:v>
      </x:c>
      <x:c r="C195" s="23" t="str">
        <x:v>mps</x:v>
      </x:c>
      <x:c r="D195" s="23" t="n">
        <x:v>41</x:v>
      </x:c>
      <x:c r="E195" s="23" t="n">
        <x:v>600</x:v>
      </x:c>
      <x:c r="F195" s="23"/>
      <x:c r="G195" s="23"/>
      <x:c r="H195" s="23"/>
      <x:c r="I195" s="24" t="n">
        <x:v>0.2929</x:v>
      </x:c>
      <x:c r="J195" s="24" t="n">
        <x:v>0.1726</x:v>
      </x:c>
      <x:c r="K195" s="24" t="n">
        <x:v>0.23275</x:v>
      </x:c>
      <x:c r="L195" s="24" t="n">
        <x:v>1.1921</x:v>
      </x:c>
      <x:c r="M195" s="24" t="n">
        <x:v>0.29241255206578265</x:v>
      </x:c>
      <x:c r="N195" s="24" t="n">
        <x:v>0.1728106693367127</x:v>
      </x:c>
      <x:c r="O195" s="24" t="n">
        <x:v>0.2326116107012477</x:v>
      </x:c>
      <x:c r="P195" s="24" t="n">
        <x:v>1.2082</x:v>
      </x:c>
      <x:c r="Q195" s="24" t="n">
        <x:v>0</x:v>
      </x:c>
      <x:c r="R195" s="24" t="n">
        <x:v>0.5666</x:v>
      </x:c>
      <x:c r="S195" s="24" t="n">
        <x:v>0.1874</x:v>
      </x:c>
      <x:c r="T195" s="24" t="n">
        <x:v>0.1485</x:v>
      </x:c>
      <x:c r="U195" s="24" t="n">
        <x:v>0.6652</x:v>
      </x:c>
      <x:c r="V195" s="24" t="n">
        <x:v>0.5902</x:v>
      </x:c>
      <x:c r="W195" s="23" t="n">
        <x:v>1</x:v>
      </x:c>
      <x:c r="X195" s="23" t="n">
        <x:v>21</x:v>
      </x:c>
      <x:c r="Y195" s="25" t="n">
        <x:v>14.6</x:v>
      </x:c>
      <x:c r="Z195" s="23" t="str">
        <x:v>benchmark/preprocessing_training/dim_600/max/msms_neg/seed_41/mps/results/metrics.json</x:v>
      </x:c>
    </x:row>
    <x:row r="196">
      <x:c r="A196" s="23" t="str">
        <x:v>max</x:v>
      </x:c>
      <x:c r="B196" s="23" t="str">
        <x:v>msms_neg</x:v>
      </x:c>
      <x:c r="C196" s="23" t="str">
        <x:v>ttn</x:v>
      </x:c>
      <x:c r="D196" s="23" t="n">
        <x:v>41</x:v>
      </x:c>
      <x:c r="E196" s="23" t="n">
        <x:v>600</x:v>
      </x:c>
      <x:c r="F196" s="23"/>
      <x:c r="G196" s="23"/>
      <x:c r="H196" s="23"/>
      <x:c r="I196" s="24" t="n">
        <x:v>0.6420120132367811</x:v>
      </x:c>
      <x:c r="J196" s="24" t="n">
        <x:v>0.15085182343650444</x:v>
      </x:c>
      <x:c r="K196" s="24" t="n">
        <x:v>0.3964319183366428</x:v>
      </x:c>
      <x:c r="L196" s="24" t="n">
        <x:v>0.406811</x:v>
      </x:c>
      <x:c r="M196" s="24" t="n">
        <x:v>0.6417935630826338</x:v>
      </x:c>
      <x:c r="N196" s="24" t="n">
        <x:v>0.14929081382358664</x:v>
      </x:c>
      <x:c r="O196" s="24" t="n">
        <x:v>0.39554218845311023</x:v>
      </x:c>
      <x:c r="P196" s="24" t="n">
        <x:v>0.407359</x:v>
      </x:c>
      <x:c r="Q196" s="24"/>
      <x:c r="R196" s="24"/>
      <x:c r="S196" s="24" t="n">
        <x:v>0.68831</x:v>
      </x:c>
      <x:c r="T196" s="24"/>
      <x:c r="U196" s="24" t="n">
        <x:v>0.601166</x:v>
      </x:c>
      <x:c r="V196" s="24"/>
      <x:c r="W196" s="23" t="n">
        <x:v>19</x:v>
      </x:c>
      <x:c r="X196" s="23" t="n">
        <x:v>87</x:v>
      </x:c>
      <x:c r="Y196" s="25" t="n">
        <x:v>25.510166666666667</x:v>
      </x:c>
      <x:c r="Z196" s="23" t="str">
        <x:v>benchmark/preprocessing_training/dim_600/max/msms_neg/seed_41/ttn/metrics.json</x:v>
      </x:c>
    </x:row>
    <x:row r="197">
      <x:c r="A197" s="23" t="str">
        <x:v>max</x:v>
      </x:c>
      <x:c r="B197" s="23" t="str">
        <x:v>msms_neg</x:v>
      </x:c>
      <x:c r="C197" s="23" t="str">
        <x:v>xgboost</x:v>
      </x:c>
      <x:c r="D197" s="23" t="n">
        <x:v>41</x:v>
      </x:c>
      <x:c r="E197" s="23" t="n">
        <x:v>600</x:v>
      </x:c>
      <x:c r="F197" s="23" t="n">
        <x:v>635496</x:v>
      </x:c>
      <x:c r="G197" s="23" t="n">
        <x:v>79450</x:v>
      </x:c>
      <x:c r="H197" s="23" t="n">
        <x:v>79457</x:v>
      </x:c>
      <x:c r="I197" s="24" t="n">
        <x:v>0.6224925109876468</x:v>
      </x:c>
      <x:c r="J197" s="24" t="n">
        <x:v>0.10788544788722251</x:v>
      </x:c>
      <x:c r="K197" s="24" t="n">
        <x:v>0.36518897943743467</x:v>
      </x:c>
      <x:c r="L197" s="24"/>
      <x:c r="M197" s="24" t="n">
        <x:v>0.6224836951349154</x:v>
      </x:c>
      <x:c r="N197" s="24" t="n">
        <x:v>0.10806084982397728</x:v>
      </x:c>
      <x:c r="O197" s="24" t="n">
        <x:v>0.3652722724794463</x:v>
      </x:c>
      <x:c r="P197" s="24"/>
      <x:c r="Q197" s="24"/>
      <x:c r="R197" s="24"/>
      <x:c r="S197" s="24"/>
      <x:c r="T197" s="24"/>
      <x:c r="U197" s="24"/>
      <x:c r="V197" s="24"/>
      <x:c r="W197" s="23"/>
      <x:c r="X197" s="23"/>
      <x:c r="Y197" s="25" t="n">
        <x:v>2.6227213674845795</x:v>
      </x:c>
      <x:c r="Z197" s="23" t="str">
        <x:v>benchmark/preprocessing_training/dim_600/max/msms_neg/seed_41/xgboost/neg_msms/original/metrics.json</x:v>
      </x:c>
    </x:row>
    <x:row r="198">
      <x:c r="A198" s="23" t="str">
        <x:v>max</x:v>
      </x:c>
      <x:c r="B198" s="23" t="str">
        <x:v>msms_pos</x:v>
      </x:c>
      <x:c r="C198" s="23" t="str">
        <x:v>cnn</x:v>
      </x:c>
      <x:c r="D198" s="23" t="n">
        <x:v>41</x:v>
      </x:c>
      <x:c r="E198" s="23" t="n">
        <x:v>600</x:v>
      </x:c>
      <x:c r="F198" s="23" t="n">
        <x:v>635496</x:v>
      </x:c>
      <x:c r="G198" s="23" t="n">
        <x:v>79450</x:v>
      </x:c>
      <x:c r="H198" s="23" t="n">
        <x:v>79457</x:v>
      </x:c>
      <x:c r="I198" s="24" t="n">
        <x:v>0.6368660935051437</x:v>
      </x:c>
      <x:c r="J198" s="24" t="n">
        <x:v>0.10542495972832282</x:v>
      </x:c>
      <x:c r="K198" s="24" t="n">
        <x:v>0.3711455266167332</x:v>
      </x:c>
      <x:c r="L198" s="24" t="n">
        <x:v>0.22095893323421478</x:v>
      </x:c>
      <x:c r="M198" s="24" t="n">
        <x:v>0.6365109956732058</x:v>
      </x:c>
      <x:c r="N198" s="24" t="n">
        <x:v>0.10576437871892712</x:v>
      </x:c>
      <x:c r="O198" s="24" t="n">
        <x:v>0.37113768719606643</x:v>
      </x:c>
      <x:c r="P198" s="24"/>
      <x:c r="Q198" s="24"/>
      <x:c r="R198" s="24"/>
      <x:c r="S198" s="24"/>
      <x:c r="T198" s="24"/>
      <x:c r="U198" s="24"/>
      <x:c r="V198" s="24"/>
      <x:c r="W198" s="23" t="n">
        <x:v>3</x:v>
      </x:c>
      <x:c r="X198" s="23" t="n">
        <x:v>31</x:v>
      </x:c>
      <x:c r="Y198" s="25" t="n">
        <x:v>24.348283826431725</x:v>
      </x:c>
      <x:c r="Z198" s="23" t="str">
        <x:v>benchmark/preprocessing_training/dim_600/max/msms_pos/seed_41/cnn/pos_msms/original/metrics.json</x:v>
      </x:c>
    </x:row>
    <x:row r="199">
      <x:c r="A199" s="23" t="str">
        <x:v>max</x:v>
      </x:c>
      <x:c r="B199" s="23" t="str">
        <x:v>msms_pos</x:v>
      </x:c>
      <x:c r="C199" s="23" t="str">
        <x:v>mps</x:v>
      </x:c>
      <x:c r="D199" s="23" t="n">
        <x:v>41</x:v>
      </x:c>
      <x:c r="E199" s="23" t="n">
        <x:v>600</x:v>
      </x:c>
      <x:c r="F199" s="23"/>
      <x:c r="G199" s="23"/>
      <x:c r="H199" s="23"/>
      <x:c r="I199" s="24" t="n">
        <x:v>0.2909</x:v>
      </x:c>
      <x:c r="J199" s="24" t="n">
        <x:v>0.1753</x:v>
      </x:c>
      <x:c r="K199" s="24" t="n">
        <x:v>0.2331</x:v>
      </x:c>
      <x:c r="L199" s="24" t="n">
        <x:v>1.4723</x:v>
      </x:c>
      <x:c r="M199" s="24" t="n">
        <x:v>0.2906149735243808</x:v>
      </x:c>
      <x:c r="N199" s="24" t="n">
        <x:v>0.17531387273714524</x:v>
      </x:c>
      <x:c r="O199" s="24" t="n">
        <x:v>0.23296442313076304</x:v>
      </x:c>
      <x:c r="P199" s="24" t="n">
        <x:v>1.2796</x:v>
      </x:c>
      <x:c r="Q199" s="24" t="n">
        <x:v>0</x:v>
      </x:c>
      <x:c r="R199" s="24" t="n">
        <x:v>0.5478</x:v>
      </x:c>
      <x:c r="S199" s="24" t="n">
        <x:v>0.1933</x:v>
      </x:c>
      <x:c r="T199" s="24" t="n">
        <x:v>0.1581</x:v>
      </x:c>
      <x:c r="U199" s="24" t="n">
        <x:v>0.5851</x:v>
      </x:c>
      <x:c r="V199" s="24" t="n">
        <x:v>0.5506</x:v>
      </x:c>
      <x:c r="W199" s="23" t="n">
        <x:v>19</x:v>
      </x:c>
      <x:c r="X199" s="23" t="n">
        <x:v>39</x:v>
      </x:c>
      <x:c r="Y199" s="25" t="n">
        <x:v>27</x:v>
      </x:c>
      <x:c r="Z199" s="23" t="str">
        <x:v>benchmark/preprocessing_training/dim_600/max/msms_pos/seed_41/mps/results/metrics.json</x:v>
      </x:c>
    </x:row>
    <x:row r="200">
      <x:c r="A200" s="23" t="str">
        <x:v>max</x:v>
      </x:c>
      <x:c r="B200" s="23" t="str">
        <x:v>msms_pos</x:v>
      </x:c>
      <x:c r="C200" s="23" t="str">
        <x:v>ttn</x:v>
      </x:c>
      <x:c r="D200" s="23" t="n">
        <x:v>41</x:v>
      </x:c>
      <x:c r="E200" s="23" t="n">
        <x:v>600</x:v>
      </x:c>
      <x:c r="F200" s="23"/>
      <x:c r="G200" s="23"/>
      <x:c r="H200" s="23"/>
      <x:c r="I200" s="24" t="n">
        <x:v>0.6484210160217023</x:v>
      </x:c>
      <x:c r="J200" s="24" t="n">
        <x:v>0.14450987332829285</x:v>
      </x:c>
      <x:c r="K200" s="24" t="n">
        <x:v>0.39646544467499756</x:v>
      </x:c>
      <x:c r="L200" s="24" t="n">
        <x:v>0.400129</x:v>
      </x:c>
      <x:c r="M200" s="24" t="n">
        <x:v>0.648002412531244</x:v>
      </x:c>
      <x:c r="N200" s="24" t="n">
        <x:v>0.14505743702834545</x:v>
      </x:c>
      <x:c r="O200" s="24" t="n">
        <x:v>0.39652992477979476</x:v>
      </x:c>
      <x:c r="P200" s="24" t="n">
        <x:v>0.40048</x:v>
      </x:c>
      <x:c r="Q200" s="24"/>
      <x:c r="R200" s="24"/>
      <x:c r="S200" s="24" t="n">
        <x:v>0.720663</x:v>
      </x:c>
      <x:c r="T200" s="24"/>
      <x:c r="U200" s="24" t="n">
        <x:v>0.588652</x:v>
      </x:c>
      <x:c r="V200" s="24"/>
      <x:c r="W200" s="23" t="n">
        <x:v>4</x:v>
      </x:c>
      <x:c r="X200" s="23" t="n">
        <x:v>51</x:v>
      </x:c>
      <x:c r="Y200" s="25" t="n">
        <x:v>14.758999999999999</x:v>
      </x:c>
      <x:c r="Z200" s="23" t="str">
        <x:v>benchmark/preprocessing_training/dim_600/max/msms_pos/seed_41/ttn/metrics.json</x:v>
      </x:c>
    </x:row>
    <x:row r="201">
      <x:c r="A201" s="23" t="str">
        <x:v>max</x:v>
      </x:c>
      <x:c r="B201" s="23" t="str">
        <x:v>msms_pos</x:v>
      </x:c>
      <x:c r="C201" s="23" t="str">
        <x:v>xgboost</x:v>
      </x:c>
      <x:c r="D201" s="23" t="n">
        <x:v>41</x:v>
      </x:c>
      <x:c r="E201" s="23" t="n">
        <x:v>600</x:v>
      </x:c>
      <x:c r="F201" s="23" t="n">
        <x:v>635496</x:v>
      </x:c>
      <x:c r="G201" s="23" t="n">
        <x:v>79450</x:v>
      </x:c>
      <x:c r="H201" s="23" t="n">
        <x:v>79457</x:v>
      </x:c>
      <x:c r="I201" s="24" t="n">
        <x:v>0.6313239913988121</x:v>
      </x:c>
      <x:c r="J201" s="24" t="n">
        <x:v>0.10188422349032843</x:v>
      </x:c>
      <x:c r="K201" s="24" t="n">
        <x:v>0.3666041074445703</x:v>
      </x:c>
      <x:c r="L201" s="24"/>
      <x:c r="M201" s="24" t="n">
        <x:v>0.6309363799283154</x:v>
      </x:c>
      <x:c r="N201" s="24" t="n">
        <x:v>0.1023526419100647</x:v>
      </x:c>
      <x:c r="O201" s="24" t="n">
        <x:v>0.36664451091919004</x:v>
      </x:c>
      <x:c r="P201" s="24"/>
      <x:c r="Q201" s="24"/>
      <x:c r="R201" s="24"/>
      <x:c r="S201" s="24"/>
      <x:c r="T201" s="24"/>
      <x:c r="U201" s="24"/>
      <x:c r="V201" s="24"/>
      <x:c r="W201" s="23"/>
      <x:c r="X201" s="23"/>
      <x:c r="Y201" s="25" t="n">
        <x:v>2.63000986870029</x:v>
      </x:c>
      <x:c r="Z201" s="23" t="str">
        <x:v>benchmark/preprocessing_training/dim_600/max/msms_pos/seed_41/xgboost/pos_msms/original/metrics.json</x:v>
      </x:c>
    </x:row>
    <x:row r="202">
      <x:c r="A202" s="23" t="str">
        <x:v>minmax</x:v>
      </x:c>
      <x:c r="B202" s="23" t="str">
        <x:v>cnmr</x:v>
      </x:c>
      <x:c r="C202" s="23" t="str">
        <x:v>cnn</x:v>
      </x:c>
      <x:c r="D202" s="23" t="n">
        <x:v>41</x:v>
      </x:c>
      <x:c r="E202" s="23" t="n">
        <x:v>600</x:v>
      </x:c>
      <x:c r="F202" s="23" t="n">
        <x:v>635496</x:v>
      </x:c>
      <x:c r="G202" s="23" t="n">
        <x:v>79450</x:v>
      </x:c>
      <x:c r="H202" s="23" t="n">
        <x:v>79457</x:v>
      </x:c>
      <x:c r="I202" s="24" t="n">
        <x:v>0.6806673767780774</x:v>
      </x:c>
      <x:c r="J202" s="24" t="n">
        <x:v>0.22879145971587303</x:v>
      </x:c>
      <x:c r="K202" s="24" t="n">
        <x:v>0.4547294182469752</x:v>
      </x:c>
      <x:c r="L202" s="24" t="n">
        <x:v>0.1670447140932083</x:v>
      </x:c>
      <x:c r="M202" s="24" t="n">
        <x:v>0.6813775950589183</x:v>
      </x:c>
      <x:c r="N202" s="24" t="n">
        <x:v>0.22899594052915379</x:v>
      </x:c>
      <x:c r="O202" s="24" t="n">
        <x:v>0.455186767794036</x:v>
      </x:c>
      <x:c r="P202" s="24"/>
      <x:c r="Q202" s="24"/>
      <x:c r="R202" s="24"/>
      <x:c r="S202" s="24"/>
      <x:c r="T202" s="24"/>
      <x:c r="U202" s="24"/>
      <x:c r="V202" s="24"/>
      <x:c r="W202" s="23" t="n">
        <x:v>20</x:v>
      </x:c>
      <x:c r="X202" s="23" t="n">
        <x:v>40</x:v>
      </x:c>
      <x:c r="Y202" s="25" t="n">
        <x:v>30.5415553239504</x:v>
      </x:c>
      <x:c r="Z202" s="23" t="str">
        <x:v>benchmark/preprocessing_training/dim_600/minmax/cnmr/seed_41/cnn/cnmr/original/metrics.json</x:v>
      </x:c>
    </x:row>
    <x:row r="203">
      <x:c r="A203" s="23" t="str">
        <x:v>minmax</x:v>
      </x:c>
      <x:c r="B203" s="23" t="str">
        <x:v>cnmr</x:v>
      </x:c>
      <x:c r="C203" s="23" t="str">
        <x:v>mps</x:v>
      </x:c>
      <x:c r="D203" s="23" t="n">
        <x:v>41</x:v>
      </x:c>
      <x:c r="E203" s="23" t="n">
        <x:v>600</x:v>
      </x:c>
      <x:c r="F203" s="23"/>
      <x:c r="G203" s="23"/>
      <x:c r="H203" s="23"/>
      <x:c r="I203" s="24" t="n">
        <x:v>0.6679</x:v>
      </x:c>
      <x:c r="J203" s="24" t="n">
        <x:v>0.3497</x:v>
      </x:c>
      <x:c r="K203" s="24" t="n">
        <x:v>0.5088</x:v>
      </x:c>
      <x:c r="L203" s="24" t="n">
        <x:v>11.3008</x:v>
      </x:c>
      <x:c r="M203" s="24" t="n">
        <x:v>0.6681722181846561</x:v>
      </x:c>
      <x:c r="N203" s="24" t="n">
        <x:v>0.349938024159798</x:v>
      </x:c>
      <x:c r="O203" s="24" t="n">
        <x:v>0.5090551211722271</x:v>
      </x:c>
      <x:c r="P203" s="24" t="n">
        <x:v>11.081</x:v>
      </x:c>
      <x:c r="Q203" s="24" t="n">
        <x:v>0.0421</x:v>
      </x:c>
      <x:c r="R203" s="24" t="n">
        <x:v>0.695</x:v>
      </x:c>
      <x:c r="S203" s="24" t="n">
        <x:v>0.6221</x:v>
      </x:c>
      <x:c r="T203" s="24" t="n">
        <x:v>0.3342</x:v>
      </x:c>
      <x:c r="U203" s="24" t="n">
        <x:v>0.7217</x:v>
      </x:c>
      <x:c r="V203" s="24" t="n">
        <x:v>0.3828</x:v>
      </x:c>
      <x:c r="W203" s="23" t="n">
        <x:v>175</x:v>
      </x:c>
      <x:c r="X203" s="23" t="n">
        <x:v>184</x:v>
      </x:c>
      <x:c r="Y203" s="25" t="n">
        <x:v>256.5</x:v>
      </x:c>
      <x:c r="Z203" s="23" t="str">
        <x:v>benchmark/preprocessing_training/dim_600/minmax/cnmr/seed_41/mps/results/metrics.json</x:v>
      </x:c>
    </x:row>
    <x:row r="204">
      <x:c r="A204" s="23" t="str">
        <x:v>minmax</x:v>
      </x:c>
      <x:c r="B204" s="23" t="str">
        <x:v>cnmr</x:v>
      </x:c>
      <x:c r="C204" s="23" t="str">
        <x:v>ttn</x:v>
      </x:c>
      <x:c r="D204" s="23" t="n">
        <x:v>41</x:v>
      </x:c>
      <x:c r="E204" s="23" t="n">
        <x:v>600</x:v>
      </x:c>
      <x:c r="F204" s="23"/>
      <x:c r="G204" s="23"/>
      <x:c r="H204" s="23"/>
      <x:c r="I204" s="24" t="n">
        <x:v>0.7154535188471415</x:v>
      </x:c>
      <x:c r="J204" s="24" t="n">
        <x:v>0.33234122042942527</x:v>
      </x:c>
      <x:c r="K204" s="24" t="n">
        <x:v>0.5238973696382834</x:v>
      </x:c>
      <x:c r="L204" s="24" t="n">
        <x:v>0.320743</x:v>
      </x:c>
      <x:c r="M204" s="24" t="n">
        <x:v>0.7159323431906985</x:v>
      </x:c>
      <x:c r="N204" s="24" t="n">
        <x:v>0.3291361533197521</x:v>
      </x:c>
      <x:c r="O204" s="24" t="n">
        <x:v>0.5225342482552253</x:v>
      </x:c>
      <x:c r="P204" s="24" t="n">
        <x:v>0.320399</x:v>
      </x:c>
      <x:c r="Q204" s="24"/>
      <x:c r="R204" s="24"/>
      <x:c r="S204" s="24" t="n">
        <x:v>0.718544</x:v>
      </x:c>
      <x:c r="T204" s="24"/>
      <x:c r="U204" s="24" t="n">
        <x:v>0.713339</x:v>
      </x:c>
      <x:c r="V204" s="24"/>
      <x:c r="W204" s="23" t="n">
        <x:v>25</x:v>
      </x:c>
      <x:c r="X204" s="23" t="n">
        <x:v>53</x:v>
      </x:c>
      <x:c r="Y204" s="25" t="n">
        <x:v>15.228</x:v>
      </x:c>
      <x:c r="Z204" s="23" t="str">
        <x:v>benchmark/preprocessing_training/dim_600/minmax/cnmr/seed_41/ttn/metrics.json</x:v>
      </x:c>
    </x:row>
    <x:row r="205">
      <x:c r="A205" s="23" t="str">
        <x:v>minmax</x:v>
      </x:c>
      <x:c r="B205" s="23" t="str">
        <x:v>cnmr</x:v>
      </x:c>
      <x:c r="C205" s="23" t="str">
        <x:v>xgboost</x:v>
      </x:c>
      <x:c r="D205" s="23" t="n">
        <x:v>41</x:v>
      </x:c>
      <x:c r="E205" s="23" t="n">
        <x:v>600</x:v>
      </x:c>
      <x:c r="F205" s="23" t="n">
        <x:v>635496</x:v>
      </x:c>
      <x:c r="G205" s="23" t="n">
        <x:v>79450</x:v>
      </x:c>
      <x:c r="H205" s="23" t="n">
        <x:v>79457</x:v>
      </x:c>
      <x:c r="I205" s="24" t="n">
        <x:v>0.7732990698518436</x:v>
      </x:c>
      <x:c r="J205" s="24" t="n">
        <x:v>0.35886844521723776</x:v>
      </x:c>
      <x:c r="K205" s="24" t="n">
        <x:v>0.5660837575345407</x:v>
      </x:c>
      <x:c r="L205" s="24"/>
      <x:c r="M205" s="24" t="n">
        <x:v>0.7733421525529884</x:v>
      </x:c>
      <x:c r="N205" s="24" t="n">
        <x:v>0.34920774669822974</x:v>
      </x:c>
      <x:c r="O205" s="24" t="n">
        <x:v>0.5612749496256091</x:v>
      </x:c>
      <x:c r="P205" s="24"/>
      <x:c r="Q205" s="24"/>
      <x:c r="R205" s="24"/>
      <x:c r="S205" s="24"/>
      <x:c r="T205" s="24"/>
      <x:c r="U205" s="24"/>
      <x:c r="V205" s="24"/>
      <x:c r="W205" s="23"/>
      <x:c r="X205" s="23"/>
      <x:c r="Y205" s="25" t="n">
        <x:v>5.9075283301664365</x:v>
      </x:c>
      <x:c r="Z205" s="23" t="str">
        <x:v>benchmark/preprocessing_training/dim_600/minmax/cnmr/seed_41/xgboost/cnmr/original/metrics.json</x:v>
      </x:c>
    </x:row>
    <x:row r="206">
      <x:c r="A206" s="23" t="str">
        <x:v>minmax</x:v>
      </x:c>
      <x:c r="B206" s="23" t="str">
        <x:v>hnmr</x:v>
      </x:c>
      <x:c r="C206" s="23" t="str">
        <x:v>cnn</x:v>
      </x:c>
      <x:c r="D206" s="23" t="n">
        <x:v>41</x:v>
      </x:c>
      <x:c r="E206" s="23" t="n">
        <x:v>600</x:v>
      </x:c>
      <x:c r="F206" s="23" t="n">
        <x:v>635496</x:v>
      </x:c>
      <x:c r="G206" s="23" t="n">
        <x:v>79450</x:v>
      </x:c>
      <x:c r="H206" s="23" t="n">
        <x:v>79457</x:v>
      </x:c>
      <x:c r="I206" s="24" t="n">
        <x:v>0.7506831484114849</x:v>
      </x:c>
      <x:c r="J206" s="24" t="n">
        <x:v>0.2758762845010817</x:v>
      </x:c>
      <x:c r="K206" s="24" t="n">
        <x:v>0.5132797164562832</x:v>
      </x:c>
      <x:c r="L206" s="24" t="n">
        <x:v>0.14798805117607117</x:v>
      </x:c>
      <x:c r="M206" s="24" t="n">
        <x:v>0.7506361247517924</x:v>
      </x:c>
      <x:c r="N206" s="24" t="n">
        <x:v>0.27564212626174006</x:v>
      </x:c>
      <x:c r="O206" s="24" t="n">
        <x:v>0.5131391255067662</x:v>
      </x:c>
      <x:c r="P206" s="24"/>
      <x:c r="Q206" s="24"/>
      <x:c r="R206" s="24"/>
      <x:c r="S206" s="24"/>
      <x:c r="T206" s="24"/>
      <x:c r="U206" s="24"/>
      <x:c r="V206" s="24"/>
      <x:c r="W206" s="23" t="n">
        <x:v>9</x:v>
      </x:c>
      <x:c r="X206" s="23" t="n">
        <x:v>29</x:v>
      </x:c>
      <x:c r="Y206" s="25" t="n">
        <x:v>20.97412148795168</x:v>
      </x:c>
      <x:c r="Z206" s="23" t="str">
        <x:v>benchmark/preprocessing_training/dim_600/minmax/hnmr/seed_41/cnn/hnmr/original/metrics.json</x:v>
      </x:c>
    </x:row>
    <x:row r="207">
      <x:c r="A207" s="23" t="str">
        <x:v>minmax</x:v>
      </x:c>
      <x:c r="B207" s="23" t="str">
        <x:v>hnmr</x:v>
      </x:c>
      <x:c r="C207" s="23" t="str">
        <x:v>mps</x:v>
      </x:c>
      <x:c r="D207" s="23" t="n">
        <x:v>41</x:v>
      </x:c>
      <x:c r="E207" s="23" t="n">
        <x:v>600</x:v>
      </x:c>
      <x:c r="F207" s="23"/>
      <x:c r="G207" s="23"/>
      <x:c r="H207" s="23"/>
      <x:c r="I207" s="24" t="n">
        <x:v>0.7012</x:v>
      </x:c>
      <x:c r="J207" s="24" t="n">
        <x:v>0.3719</x:v>
      </x:c>
      <x:c r="K207" s="24" t="n">
        <x:v>0.5365500000000001</x:v>
      </x:c>
      <x:c r="L207" s="24" t="n">
        <x:v>10.6713</x:v>
      </x:c>
      <x:c r="M207" s="24" t="n">
        <x:v>0.7011714267832182</x:v>
      </x:c>
      <x:c r="N207" s="24" t="n">
        <x:v>0.3650554921691385</x:v>
      </x:c>
      <x:c r="O207" s="24" t="n">
        <x:v>0.5331134594761784</x:v>
      </x:c>
      <x:c r="P207" s="24" t="n">
        <x:v>10.4498</x:v>
      </x:c>
      <x:c r="Q207" s="24" t="n">
        <x:v>0.0794</x:v>
      </x:c>
      <x:c r="R207" s="24" t="n">
        <x:v>0.7069</x:v>
      </x:c>
      <x:c r="S207" s="24" t="n">
        <x:v>0.6942</x:v>
      </x:c>
      <x:c r="T207" s="24" t="n">
        <x:v>0.3907</x:v>
      </x:c>
      <x:c r="U207" s="24" t="n">
        <x:v>0.7082</x:v>
      </x:c>
      <x:c r="V207" s="24" t="n">
        <x:v>0.3523</x:v>
      </x:c>
      <x:c r="W207" s="23" t="n">
        <x:v>158</x:v>
      </x:c>
      <x:c r="X207" s="23" t="n">
        <x:v>167</x:v>
      </x:c>
      <x:c r="Y207" s="25" t="n">
        <x:v>107.7</x:v>
      </x:c>
      <x:c r="Z207" s="23" t="str">
        <x:v>benchmark/preprocessing_training/dim_600/minmax/hnmr/seed_41/mps/results/metrics.json</x:v>
      </x:c>
    </x:row>
    <x:row r="208">
      <x:c r="A208" s="23" t="str">
        <x:v>minmax</x:v>
      </x:c>
      <x:c r="B208" s="23" t="str">
        <x:v>hnmr</x:v>
      </x:c>
      <x:c r="C208" s="23" t="str">
        <x:v>ttn</x:v>
      </x:c>
      <x:c r="D208" s="23" t="n">
        <x:v>41</x:v>
      </x:c>
      <x:c r="E208" s="23" t="n">
        <x:v>600</x:v>
      </x:c>
      <x:c r="F208" s="23"/>
      <x:c r="G208" s="23"/>
      <x:c r="H208" s="23"/>
      <x:c r="I208" s="24" t="n">
        <x:v>0.6903627741395572</x:v>
      </x:c>
      <x:c r="J208" s="24" t="n">
        <x:v>0.3082411398718396</x:v>
      </x:c>
      <x:c r="K208" s="24" t="n">
        <x:v>0.49930195700569835</x:v>
      </x:c>
      <x:c r="L208" s="24" t="n">
        <x:v>0.37353</x:v>
      </x:c>
      <x:c r="M208" s="24" t="n">
        <x:v>0.6899887451283149</x:v>
      </x:c>
      <x:c r="N208" s="24" t="n">
        <x:v>0.30279515576926447</x:v>
      </x:c>
      <x:c r="O208" s="24" t="n">
        <x:v>0.4963919504487897</x:v>
      </x:c>
      <x:c r="P208" s="24" t="n">
        <x:v>0.372618</x:v>
      </x:c>
      <x:c r="Q208" s="24"/>
      <x:c r="R208" s="24"/>
      <x:c r="S208" s="24" t="n">
        <x:v>0.696197</x:v>
      </x:c>
      <x:c r="T208" s="24"/>
      <x:c r="U208" s="24" t="n">
        <x:v>0.68389</x:v>
      </x:c>
      <x:c r="V208" s="24"/>
      <x:c r="W208" s="23" t="n">
        <x:v>46</x:v>
      </x:c>
      <x:c r="X208" s="23" t="n">
        <x:v>66</x:v>
      </x:c>
      <x:c r="Y208" s="25" t="n">
        <x:v>18.807333333333336</x:v>
      </x:c>
      <x:c r="Z208" s="23" t="str">
        <x:v>benchmark/preprocessing_training/dim_600/minmax/hnmr/seed_41/ttn/metrics.json</x:v>
      </x:c>
    </x:row>
    <x:row r="209">
      <x:c r="A209" s="23" t="str">
        <x:v>minmax</x:v>
      </x:c>
      <x:c r="B209" s="23" t="str">
        <x:v>hnmr</x:v>
      </x:c>
      <x:c r="C209" s="23" t="str">
        <x:v>xgboost</x:v>
      </x:c>
      <x:c r="D209" s="23" t="n">
        <x:v>41</x:v>
      </x:c>
      <x:c r="E209" s="23" t="n">
        <x:v>600</x:v>
      </x:c>
      <x:c r="F209" s="23" t="n">
        <x:v>635496</x:v>
      </x:c>
      <x:c r="G209" s="23" t="n">
        <x:v>79450</x:v>
      </x:c>
      <x:c r="H209" s="23" t="n">
        <x:v>79457</x:v>
      </x:c>
      <x:c r="I209" s="24" t="n">
        <x:v>0.74681195788966</x:v>
      </x:c>
      <x:c r="J209" s="24" t="n">
        <x:v>0.3192173249026401</x:v>
      </x:c>
      <x:c r="K209" s="24" t="n">
        <x:v>0.5330146413961501</x:v>
      </x:c>
      <x:c r="L209" s="24"/>
      <x:c r="M209" s="24" t="n">
        <x:v>0.7474279199254391</x:v>
      </x:c>
      <x:c r="N209" s="24" t="n">
        <x:v>0.30660818335897455</x:v>
      </x:c>
      <x:c r="O209" s="24" t="n">
        <x:v>0.5270180516422068</x:v>
      </x:c>
      <x:c r="P209" s="24"/>
      <x:c r="Q209" s="24"/>
      <x:c r="R209" s="24"/>
      <x:c r="S209" s="24"/>
      <x:c r="T209" s="24"/>
      <x:c r="U209" s="24"/>
      <x:c r="V209" s="24"/>
      <x:c r="W209" s="23"/>
      <x:c r="X209" s="23"/>
      <x:c r="Y209" s="25" t="n">
        <x:v>5.93125395194899</x:v>
      </x:c>
      <x:c r="Z209" s="23" t="str">
        <x:v>benchmark/preprocessing_training/dim_600/minmax/hnmr/seed_41/xgboost/hnmr/original/metrics.json</x:v>
      </x:c>
    </x:row>
    <x:row r="210">
      <x:c r="A210" s="23" t="str">
        <x:v>minmax</x:v>
      </x:c>
      <x:c r="B210" s="23" t="str">
        <x:v>ir</x:v>
      </x:c>
      <x:c r="C210" s="23" t="str">
        <x:v>cnn</x:v>
      </x:c>
      <x:c r="D210" s="23" t="n">
        <x:v>41</x:v>
      </x:c>
      <x:c r="E210" s="23" t="n">
        <x:v>600</x:v>
      </x:c>
      <x:c r="F210" s="23" t="n">
        <x:v>635496</x:v>
      </x:c>
      <x:c r="G210" s="23" t="n">
        <x:v>79450</x:v>
      </x:c>
      <x:c r="H210" s="23" t="n">
        <x:v>79457</x:v>
      </x:c>
      <x:c r="I210" s="24" t="n">
        <x:v>0.8864406664722676</x:v>
      </x:c>
      <x:c r="J210" s="24" t="n">
        <x:v>0.6575008116748833</x:v>
      </x:c>
      <x:c r="K210" s="24" t="n">
        <x:v>0.7719707390735755</x:v>
      </x:c>
      <x:c r="L210" s="24" t="n">
        <x:v>0.07666836678981781</x:v>
      </x:c>
      <x:c r="M210" s="24" t="n">
        <x:v>0.8863701387542356</x:v>
      </x:c>
      <x:c r="N210" s="24" t="n">
        <x:v>0.6616504039189447</x:v>
      </x:c>
      <x:c r="O210" s="24" t="n">
        <x:v>0.7740102713365902</x:v>
      </x:c>
      <x:c r="P210" s="24"/>
      <x:c r="Q210" s="24"/>
      <x:c r="R210" s="24"/>
      <x:c r="S210" s="24"/>
      <x:c r="T210" s="24"/>
      <x:c r="U210" s="24"/>
      <x:c r="V210" s="24"/>
      <x:c r="W210" s="23" t="n">
        <x:v>40</x:v>
      </x:c>
      <x:c r="X210" s="23" t="n">
        <x:v>48</x:v>
      </x:c>
      <x:c r="Y210" s="25" t="n">
        <x:v>34.21187387063207</x:v>
      </x:c>
      <x:c r="Z210" s="23" t="str">
        <x:v>benchmark/preprocessing_training/dim_600/minmax/ir/seed_41/cnn/ir/original/metrics.json</x:v>
      </x:c>
    </x:row>
    <x:row r="211">
      <x:c r="A211" s="23" t="str">
        <x:v>minmax</x:v>
      </x:c>
      <x:c r="B211" s="23" t="str">
        <x:v>ir</x:v>
      </x:c>
      <x:c r="C211" s="23" t="str">
        <x:v>mps</x:v>
      </x:c>
      <x:c r="D211" s="23" t="n">
        <x:v>41</x:v>
      </x:c>
      <x:c r="E211" s="23" t="n">
        <x:v>600</x:v>
      </x:c>
      <x:c r="F211" s="23"/>
      <x:c r="G211" s="23"/>
      <x:c r="H211" s="23"/>
      <x:c r="I211" s="24" t="n">
        <x:v>0.843</x:v>
      </x:c>
      <x:c r="J211" s="24" t="n">
        <x:v>0.6714</x:v>
      </x:c>
      <x:c r="K211" s="24" t="n">
        <x:v>0.7572</x:v>
      </x:c>
      <x:c r="L211" s="24" t="n">
        <x:v>4.0876</x:v>
      </x:c>
      <x:c r="M211" s="24" t="n">
        <x:v>0.8436325519758424</x:v>
      </x:c>
      <x:c r="N211" s="24" t="n">
        <x:v>0.6694012204346553</x:v>
      </x:c>
      <x:c r="O211" s="24" t="n">
        <x:v>0.7565168862052489</x:v>
      </x:c>
      <x:c r="P211" s="24" t="n">
        <x:v>4.0688</x:v>
      </x:c>
      <x:c r="Q211" s="24" t="n">
        <x:v>0.2601</x:v>
      </x:c>
      <x:c r="R211" s="24" t="n">
        <x:v>0.8421</x:v>
      </x:c>
      <x:c r="S211" s="24" t="n">
        <x:v>0.8706</x:v>
      </x:c>
      <x:c r="T211" s="24" t="n">
        <x:v>0.7284</x:v>
      </x:c>
      <x:c r="U211" s="24" t="n">
        <x:v>0.8183</x:v>
      </x:c>
      <x:c r="V211" s="24" t="n">
        <x:v>0.6323</x:v>
      </x:c>
      <x:c r="W211" s="23" t="n">
        <x:v>146</x:v>
      </x:c>
      <x:c r="X211" s="23" t="n">
        <x:v>147</x:v>
      </x:c>
      <x:c r="Y211" s="25" t="n">
        <x:v>94</x:v>
      </x:c>
      <x:c r="Z211" s="23" t="str">
        <x:v>benchmark/preprocessing_training/dim_600/minmax/ir/seed_41/mps/results/metrics.json</x:v>
      </x:c>
    </x:row>
    <x:row r="212">
      <x:c r="A212" s="23" t="str">
        <x:v>minmax</x:v>
      </x:c>
      <x:c r="B212" s="23" t="str">
        <x:v>ir</x:v>
      </x:c>
      <x:c r="C212" s="23" t="str">
        <x:v>ttn</x:v>
      </x:c>
      <x:c r="D212" s="23" t="n">
        <x:v>41</x:v>
      </x:c>
      <x:c r="E212" s="23" t="n">
        <x:v>600</x:v>
      </x:c>
      <x:c r="F212" s="23"/>
      <x:c r="G212" s="23"/>
      <x:c r="H212" s="23"/>
      <x:c r="I212" s="24" t="n">
        <x:v>0.8184193226714135</x:v>
      </x:c>
      <x:c r="J212" s="24" t="n">
        <x:v>0.5859439956467265</x:v>
      </x:c>
      <x:c r="K212" s="24" t="n">
        <x:v>0.7021816591590699</x:v>
      </x:c>
      <x:c r="L212" s="24" t="n">
        <x:v>0.187685</x:v>
      </x:c>
      <x:c r="M212" s="24" t="n">
        <x:v>0.81888527092077</x:v>
      </x:c>
      <x:c r="N212" s="24" t="n">
        <x:v>0.5646807160459979</x:v>
      </x:c>
      <x:c r="O212" s="24" t="n">
        <x:v>0.6917829934833839</x:v>
      </x:c>
      <x:c r="P212" s="24" t="n">
        <x:v>0.187875</x:v>
      </x:c>
      <x:c r="Q212" s="24"/>
      <x:c r="R212" s="24"/>
      <x:c r="S212" s="24" t="n">
        <x:v>0.812471</x:v>
      </x:c>
      <x:c r="T212" s="24"/>
      <x:c r="U212" s="24" t="n">
        <x:v>0.825402</x:v>
      </x:c>
      <x:c r="V212" s="24"/>
      <x:c r="W212" s="23" t="n">
        <x:v>29</x:v>
      </x:c>
      <x:c r="X212" s="23" t="n">
        <x:v>52</x:v>
      </x:c>
      <x:c r="Y212" s="25" t="n">
        <x:v>14.881499999999999</x:v>
      </x:c>
      <x:c r="Z212" s="23" t="str">
        <x:v>benchmark/preprocessing_training/dim_600/minmax/ir/seed_41/ttn/metrics.json</x:v>
      </x:c>
    </x:row>
    <x:row r="213">
      <x:c r="A213" s="23" t="str">
        <x:v>minmax</x:v>
      </x:c>
      <x:c r="B213" s="23" t="str">
        <x:v>ir</x:v>
      </x:c>
      <x:c r="C213" s="23" t="str">
        <x:v>xgboost</x:v>
      </x:c>
      <x:c r="D213" s="23" t="n">
        <x:v>41</x:v>
      </x:c>
      <x:c r="E213" s="23" t="n">
        <x:v>600</x:v>
      </x:c>
      <x:c r="F213" s="23" t="n">
        <x:v>635496</x:v>
      </x:c>
      <x:c r="G213" s="23" t="n">
        <x:v>79450</x:v>
      </x:c>
      <x:c r="H213" s="23" t="n">
        <x:v>79457</x:v>
      </x:c>
      <x:c r="I213" s="24" t="n">
        <x:v>0.8276898611707255</x:v>
      </x:c>
      <x:c r="J213" s="24" t="n">
        <x:v>0.5241948963673866</x:v>
      </x:c>
      <x:c r="K213" s="24" t="n">
        <x:v>0.675942378769056</x:v>
      </x:c>
      <x:c r="L213" s="24"/>
      <x:c r="M213" s="24" t="n">
        <x:v>0.8280206715872666</x:v>
      </x:c>
      <x:c r="N213" s="24" t="n">
        <x:v>0.5167926005234567</x:v>
      </x:c>
      <x:c r="O213" s="24" t="n">
        <x:v>0.6724066360553616</x:v>
      </x:c>
      <x:c r="P213" s="24"/>
      <x:c r="Q213" s="24"/>
      <x:c r="R213" s="24"/>
      <x:c r="S213" s="24"/>
      <x:c r="T213" s="24"/>
      <x:c r="U213" s="24"/>
      <x:c r="V213" s="24"/>
      <x:c r="W213" s="23"/>
      <x:c r="X213" s="23"/>
      <x:c r="Y213" s="25" t="n">
        <x:v>6.295681105416346</x:v>
      </x:c>
      <x:c r="Z213" s="23" t="str">
        <x:v>benchmark/preprocessing_training/dim_600/minmax/ir/seed_41/xgboost/ir/original/metrics.json</x:v>
      </x:c>
    </x:row>
    <x:row r="214">
      <x:c r="A214" s="23" t="str">
        <x:v>minmax</x:v>
      </x:c>
      <x:c r="B214" s="23" t="str">
        <x:v>msms_neg</x:v>
      </x:c>
      <x:c r="C214" s="23" t="str">
        <x:v>cnn</x:v>
      </x:c>
      <x:c r="D214" s="23" t="n">
        <x:v>41</x:v>
      </x:c>
      <x:c r="E214" s="23" t="n">
        <x:v>600</x:v>
      </x:c>
      <x:c r="F214" s="23" t="n">
        <x:v>635496</x:v>
      </x:c>
      <x:c r="G214" s="23" t="n">
        <x:v>79450</x:v>
      </x:c>
      <x:c r="H214" s="23" t="n">
        <x:v>79457</x:v>
      </x:c>
      <x:c r="I214" s="24" t="n">
        <x:v>0.6364746199656683</x:v>
      </x:c>
      <x:c r="J214" s="24" t="n">
        <x:v>0.11171302501530087</x:v>
      </x:c>
      <x:c r="K214" s="24" t="n">
        <x:v>0.3740938224904846</x:v>
      </x:c>
      <x:c r="L214" s="24" t="n">
        <x:v>0.20444275438785553</x:v>
      </x:c>
      <x:c r="M214" s="24" t="n">
        <x:v>0.6364747792320887</x:v>
      </x:c>
      <x:c r="N214" s="24" t="n">
        <x:v>0.11164959837122532</x:v>
      </x:c>
      <x:c r="O214" s="24" t="n">
        <x:v>0.37406218880165704</x:v>
      </x:c>
      <x:c r="P214" s="24"/>
      <x:c r="Q214" s="24"/>
      <x:c r="R214" s="24"/>
      <x:c r="S214" s="24"/>
      <x:c r="T214" s="24"/>
      <x:c r="U214" s="24"/>
      <x:c r="V214" s="24"/>
      <x:c r="W214" s="23" t="n">
        <x:v>7</x:v>
      </x:c>
      <x:c r="X214" s="23" t="n">
        <x:v>47</x:v>
      </x:c>
      <x:c r="Y214" s="25" t="n">
        <x:v>31.969491555250716</x:v>
      </x:c>
      <x:c r="Z214" s="23" t="str">
        <x:v>benchmark/preprocessing_training/dim_600/minmax/msms_neg/seed_41/cnn/neg_msms/original/metrics.json</x:v>
      </x:c>
    </x:row>
    <x:row r="215">
      <x:c r="A215" s="23" t="str">
        <x:v>minmax</x:v>
      </x:c>
      <x:c r="B215" s="23" t="str">
        <x:v>msms_neg</x:v>
      </x:c>
      <x:c r="C215" s="23" t="str">
        <x:v>mps</x:v>
      </x:c>
      <x:c r="D215" s="23" t="n">
        <x:v>41</x:v>
      </x:c>
      <x:c r="E215" s="23" t="n">
        <x:v>600</x:v>
      </x:c>
      <x:c r="F215" s="23"/>
      <x:c r="G215" s="23"/>
      <x:c r="H215" s="23"/>
      <x:c r="I215" s="24" t="n">
        <x:v>0.2929</x:v>
      </x:c>
      <x:c r="J215" s="24" t="n">
        <x:v>0.1726</x:v>
      </x:c>
      <x:c r="K215" s="24" t="n">
        <x:v>0.23275</x:v>
      </x:c>
      <x:c r="L215" s="24" t="n">
        <x:v>1.1921</x:v>
      </x:c>
      <x:c r="M215" s="24" t="n">
        <x:v>0.29241255206578265</x:v>
      </x:c>
      <x:c r="N215" s="24" t="n">
        <x:v>0.1728106693367127</x:v>
      </x:c>
      <x:c r="O215" s="24" t="n">
        <x:v>0.2326116107012477</x:v>
      </x:c>
      <x:c r="P215" s="24" t="n">
        <x:v>1.2082</x:v>
      </x:c>
      <x:c r="Q215" s="24" t="n">
        <x:v>0</x:v>
      </x:c>
      <x:c r="R215" s="24" t="n">
        <x:v>0.5666</x:v>
      </x:c>
      <x:c r="S215" s="24" t="n">
        <x:v>0.1874</x:v>
      </x:c>
      <x:c r="T215" s="24" t="n">
        <x:v>0.1485</x:v>
      </x:c>
      <x:c r="U215" s="24" t="n">
        <x:v>0.6652</x:v>
      </x:c>
      <x:c r="V215" s="24" t="n">
        <x:v>0.5902</x:v>
      </x:c>
      <x:c r="W215" s="23" t="n">
        <x:v>1</x:v>
      </x:c>
      <x:c r="X215" s="23" t="n">
        <x:v>21</x:v>
      </x:c>
      <x:c r="Y215" s="25" t="n">
        <x:v>14.1</x:v>
      </x:c>
      <x:c r="Z215" s="23" t="str">
        <x:v>benchmark/preprocessing_training/dim_600/minmax/msms_neg/seed_41/mps/results/metrics.json</x:v>
      </x:c>
    </x:row>
    <x:row r="216">
      <x:c r="A216" s="23" t="str">
        <x:v>minmax</x:v>
      </x:c>
      <x:c r="B216" s="23" t="str">
        <x:v>msms_neg</x:v>
      </x:c>
      <x:c r="C216" s="23" t="str">
        <x:v>ttn</x:v>
      </x:c>
      <x:c r="D216" s="23" t="n">
        <x:v>41</x:v>
      </x:c>
      <x:c r="E216" s="23" t="n">
        <x:v>600</x:v>
      </x:c>
      <x:c r="F216" s="23"/>
      <x:c r="G216" s="23"/>
      <x:c r="H216" s="23"/>
      <x:c r="I216" s="24" t="n">
        <x:v>0.6420120132367811</x:v>
      </x:c>
      <x:c r="J216" s="24" t="n">
        <x:v>0.15085182343650444</x:v>
      </x:c>
      <x:c r="K216" s="24" t="n">
        <x:v>0.3964319183366428</x:v>
      </x:c>
      <x:c r="L216" s="24" t="n">
        <x:v>0.406811</x:v>
      </x:c>
      <x:c r="M216" s="24" t="n">
        <x:v>0.6417935630826338</x:v>
      </x:c>
      <x:c r="N216" s="24" t="n">
        <x:v>0.14929081382358664</x:v>
      </x:c>
      <x:c r="O216" s="24" t="n">
        <x:v>0.39554218845311023</x:v>
      </x:c>
      <x:c r="P216" s="24" t="n">
        <x:v>0.407359</x:v>
      </x:c>
      <x:c r="Q216" s="24"/>
      <x:c r="R216" s="24"/>
      <x:c r="S216" s="24" t="n">
        <x:v>0.68831</x:v>
      </x:c>
      <x:c r="T216" s="24"/>
      <x:c r="U216" s="24" t="n">
        <x:v>0.601166</x:v>
      </x:c>
      <x:c r="V216" s="24"/>
      <x:c r="W216" s="23" t="n">
        <x:v>19</x:v>
      </x:c>
      <x:c r="X216" s="23" t="n">
        <x:v>87</x:v>
      </x:c>
      <x:c r="Y216" s="25" t="n">
        <x:v>25.020666666666667</x:v>
      </x:c>
      <x:c r="Z216" s="23" t="str">
        <x:v>benchmark/preprocessing_training/dim_600/minmax/msms_neg/seed_41/ttn/metrics.json</x:v>
      </x:c>
    </x:row>
    <x:row r="217">
      <x:c r="A217" s="23" t="str">
        <x:v>minmax</x:v>
      </x:c>
      <x:c r="B217" s="23" t="str">
        <x:v>msms_neg</x:v>
      </x:c>
      <x:c r="C217" s="23" t="str">
        <x:v>xgboost</x:v>
      </x:c>
      <x:c r="D217" s="23" t="n">
        <x:v>41</x:v>
      </x:c>
      <x:c r="E217" s="23" t="n">
        <x:v>600</x:v>
      </x:c>
      <x:c r="F217" s="23" t="n">
        <x:v>635496</x:v>
      </x:c>
      <x:c r="G217" s="23" t="n">
        <x:v>79450</x:v>
      </x:c>
      <x:c r="H217" s="23" t="n">
        <x:v>79457</x:v>
      </x:c>
      <x:c r="I217" s="24" t="n">
        <x:v>0.6224925109876468</x:v>
      </x:c>
      <x:c r="J217" s="24" t="n">
        <x:v>0.10788544788722251</x:v>
      </x:c>
      <x:c r="K217" s="24" t="n">
        <x:v>0.36518897943743467</x:v>
      </x:c>
      <x:c r="L217" s="24"/>
      <x:c r="M217" s="24" t="n">
        <x:v>0.6224836951349154</x:v>
      </x:c>
      <x:c r="N217" s="24" t="n">
        <x:v>0.10806084982397728</x:v>
      </x:c>
      <x:c r="O217" s="24" t="n">
        <x:v>0.3652722724794463</x:v>
      </x:c>
      <x:c r="P217" s="24"/>
      <x:c r="Q217" s="24"/>
      <x:c r="R217" s="24"/>
      <x:c r="S217" s="24"/>
      <x:c r="T217" s="24"/>
      <x:c r="U217" s="24"/>
      <x:c r="V217" s="24"/>
      <x:c r="W217" s="23"/>
      <x:c r="X217" s="23"/>
      <x:c r="Y217" s="25" t="n">
        <x:v>2.2948832358660485</x:v>
      </x:c>
      <x:c r="Z217" s="23" t="str">
        <x:v>benchmark/preprocessing_training/dim_600/minmax/msms_neg/seed_41/xgboost/neg_msms/original/metrics.json</x:v>
      </x:c>
    </x:row>
    <x:row r="218">
      <x:c r="A218" s="23" t="str">
        <x:v>minmax</x:v>
      </x:c>
      <x:c r="B218" s="23" t="str">
        <x:v>msms_pos</x:v>
      </x:c>
      <x:c r="C218" s="23" t="str">
        <x:v>cnn</x:v>
      </x:c>
      <x:c r="D218" s="23" t="n">
        <x:v>41</x:v>
      </x:c>
      <x:c r="E218" s="23" t="n">
        <x:v>600</x:v>
      </x:c>
      <x:c r="F218" s="23" t="n">
        <x:v>635496</x:v>
      </x:c>
      <x:c r="G218" s="23" t="n">
        <x:v>79450</x:v>
      </x:c>
      <x:c r="H218" s="23" t="n">
        <x:v>79457</x:v>
      </x:c>
      <x:c r="I218" s="24" t="n">
        <x:v>0.6325166323948245</x:v>
      </x:c>
      <x:c r="J218" s="24" t="n">
        <x:v>0.0989938329739696</x:v>
      </x:c>
      <x:c r="K218" s="24" t="n">
        <x:v>0.365755232684397</x:v>
      </x:c>
      <x:c r="L218" s="24" t="n">
        <x:v>0.20509909093379974</x:v>
      </x:c>
      <x:c r="M218" s="24" t="n">
        <x:v>0.6318036662608726</x:v>
      </x:c>
      <x:c r="N218" s="24" t="n">
        <x:v>0.09904935037569344</x:v>
      </x:c>
      <x:c r="O218" s="24" t="n">
        <x:v>0.365426508318283</x:v>
      </x:c>
      <x:c r="P218" s="24"/>
      <x:c r="Q218" s="24"/>
      <x:c r="R218" s="24"/>
      <x:c r="S218" s="24"/>
      <x:c r="T218" s="24"/>
      <x:c r="U218" s="24"/>
      <x:c r="V218" s="24"/>
      <x:c r="W218" s="23" t="n">
        <x:v>14</x:v>
      </x:c>
      <x:c r="X218" s="23" t="n">
        <x:v>30</x:v>
      </x:c>
      <x:c r="Y218" s="25" t="n">
        <x:v>21.22184513261503</x:v>
      </x:c>
      <x:c r="Z218" s="23" t="str">
        <x:v>benchmark/preprocessing_training/dim_600/minmax/msms_pos/seed_41/cnn/pos_msms/original/metrics.json</x:v>
      </x:c>
    </x:row>
    <x:row r="219">
      <x:c r="A219" s="23" t="str">
        <x:v>minmax</x:v>
      </x:c>
      <x:c r="B219" s="23" t="str">
        <x:v>msms_pos</x:v>
      </x:c>
      <x:c r="C219" s="23" t="str">
        <x:v>mps</x:v>
      </x:c>
      <x:c r="D219" s="23" t="n">
        <x:v>41</x:v>
      </x:c>
      <x:c r="E219" s="23" t="n">
        <x:v>600</x:v>
      </x:c>
      <x:c r="F219" s="23"/>
      <x:c r="G219" s="23"/>
      <x:c r="H219" s="23"/>
      <x:c r="I219" s="24" t="n">
        <x:v>0.2909</x:v>
      </x:c>
      <x:c r="J219" s="24" t="n">
        <x:v>0.1753</x:v>
      </x:c>
      <x:c r="K219" s="24" t="n">
        <x:v>0.2331</x:v>
      </x:c>
      <x:c r="L219" s="24" t="n">
        <x:v>1.4723</x:v>
      </x:c>
      <x:c r="M219" s="24" t="n">
        <x:v>0.2906149735243808</x:v>
      </x:c>
      <x:c r="N219" s="24" t="n">
        <x:v>0.17531387273714524</x:v>
      </x:c>
      <x:c r="O219" s="24" t="n">
        <x:v>0.23296442313076304</x:v>
      </x:c>
      <x:c r="P219" s="24" t="n">
        <x:v>1.2796</x:v>
      </x:c>
      <x:c r="Q219" s="24" t="n">
        <x:v>0</x:v>
      </x:c>
      <x:c r="R219" s="24" t="n">
        <x:v>0.5478</x:v>
      </x:c>
      <x:c r="S219" s="24" t="n">
        <x:v>0.1933</x:v>
      </x:c>
      <x:c r="T219" s="24" t="n">
        <x:v>0.1581</x:v>
      </x:c>
      <x:c r="U219" s="24" t="n">
        <x:v>0.5851</x:v>
      </x:c>
      <x:c r="V219" s="24" t="n">
        <x:v>0.5506</x:v>
      </x:c>
      <x:c r="W219" s="23" t="n">
        <x:v>19</x:v>
      </x:c>
      <x:c r="X219" s="23" t="n">
        <x:v>39</x:v>
      </x:c>
      <x:c r="Y219" s="25" t="n">
        <x:v>25.9</x:v>
      </x:c>
      <x:c r="Z219" s="23" t="str">
        <x:v>benchmark/preprocessing_training/dim_600/minmax/msms_pos/seed_41/mps/results/metrics.json</x:v>
      </x:c>
    </x:row>
    <x:row r="220">
      <x:c r="A220" s="23" t="str">
        <x:v>minmax</x:v>
      </x:c>
      <x:c r="B220" s="23" t="str">
        <x:v>msms_pos</x:v>
      </x:c>
      <x:c r="C220" s="23" t="str">
        <x:v>ttn</x:v>
      </x:c>
      <x:c r="D220" s="23" t="n">
        <x:v>41</x:v>
      </x:c>
      <x:c r="E220" s="23" t="n">
        <x:v>600</x:v>
      </x:c>
      <x:c r="F220" s="23"/>
      <x:c r="G220" s="23"/>
      <x:c r="H220" s="23"/>
      <x:c r="I220" s="24" t="n">
        <x:v>0.6484210160217023</x:v>
      </x:c>
      <x:c r="J220" s="24" t="n">
        <x:v>0.14450987332829285</x:v>
      </x:c>
      <x:c r="K220" s="24" t="n">
        <x:v>0.39646544467499756</x:v>
      </x:c>
      <x:c r="L220" s="24" t="n">
        <x:v>0.400129</x:v>
      </x:c>
      <x:c r="M220" s="24" t="n">
        <x:v>0.648002412531244</x:v>
      </x:c>
      <x:c r="N220" s="24" t="n">
        <x:v>0.14505743702834545</x:v>
      </x:c>
      <x:c r="O220" s="24" t="n">
        <x:v>0.39652992477979476</x:v>
      </x:c>
      <x:c r="P220" s="24" t="n">
        <x:v>0.40048</x:v>
      </x:c>
      <x:c r="Q220" s="24"/>
      <x:c r="R220" s="24"/>
      <x:c r="S220" s="24" t="n">
        <x:v>0.720663</x:v>
      </x:c>
      <x:c r="T220" s="24"/>
      <x:c r="U220" s="24" t="n">
        <x:v>0.588652</x:v>
      </x:c>
      <x:c r="V220" s="24"/>
      <x:c r="W220" s="23" t="n">
        <x:v>4</x:v>
      </x:c>
      <x:c r="X220" s="23" t="n">
        <x:v>51</x:v>
      </x:c>
      <x:c r="Y220" s="25" t="n">
        <x:v>15.643333333333334</x:v>
      </x:c>
      <x:c r="Z220" s="23" t="str">
        <x:v>benchmark/preprocessing_training/dim_600/minmax/msms_pos/seed_41/ttn/metrics.json</x:v>
      </x:c>
    </x:row>
    <x:row r="221">
      <x:c r="A221" s="23" t="str">
        <x:v>minmax</x:v>
      </x:c>
      <x:c r="B221" s="23" t="str">
        <x:v>msms_pos</x:v>
      </x:c>
      <x:c r="C221" s="23" t="str">
        <x:v>xgboost</x:v>
      </x:c>
      <x:c r="D221" s="23" t="n">
        <x:v>41</x:v>
      </x:c>
      <x:c r="E221" s="23" t="n">
        <x:v>600</x:v>
      </x:c>
      <x:c r="F221" s="23" t="n">
        <x:v>635496</x:v>
      </x:c>
      <x:c r="G221" s="23" t="n">
        <x:v>79450</x:v>
      </x:c>
      <x:c r="H221" s="23" t="n">
        <x:v>79457</x:v>
      </x:c>
      <x:c r="I221" s="24" t="n">
        <x:v>0.6313239913988121</x:v>
      </x:c>
      <x:c r="J221" s="24" t="n">
        <x:v>0.10188422349032843</x:v>
      </x:c>
      <x:c r="K221" s="24" t="n">
        <x:v>0.3666041074445703</x:v>
      </x:c>
      <x:c r="L221" s="24"/>
      <x:c r="M221" s="24" t="n">
        <x:v>0.6309363799283154</x:v>
      </x:c>
      <x:c r="N221" s="24" t="n">
        <x:v>0.1023526419100647</x:v>
      </x:c>
      <x:c r="O221" s="24" t="n">
        <x:v>0.36664451091919004</x:v>
      </x:c>
      <x:c r="P221" s="24"/>
      <x:c r="Q221" s="24"/>
      <x:c r="R221" s="24"/>
      <x:c r="S221" s="24"/>
      <x:c r="T221" s="24"/>
      <x:c r="U221" s="24"/>
      <x:c r="V221" s="24"/>
      <x:c r="W221" s="23"/>
      <x:c r="X221" s="23"/>
      <x:c r="Y221" s="25" t="n">
        <x:v>2.3824089809825333</x:v>
      </x:c>
      <x:c r="Z221" s="23" t="str">
        <x:v>benchmark/preprocessing_training/dim_600/minmax/msms_pos/seed_41/xgboost/pos_msms/original/metrics.json</x:v>
      </x:c>
    </x:row>
    <x:row r="222">
      <x:c r="A222" s="23" t="str">
        <x:v>moving_average</x:v>
      </x:c>
      <x:c r="B222" s="23" t="str">
        <x:v>cnmr</x:v>
      </x:c>
      <x:c r="C222" s="23" t="str">
        <x:v>cnn</x:v>
      </x:c>
      <x:c r="D222" s="23" t="n">
        <x:v>41</x:v>
      </x:c>
      <x:c r="E222" s="23" t="n">
        <x:v>600</x:v>
      </x:c>
      <x:c r="F222" s="23" t="n">
        <x:v>635496</x:v>
      </x:c>
      <x:c r="G222" s="23" t="n">
        <x:v>79450</x:v>
      </x:c>
      <x:c r="H222" s="23" t="n">
        <x:v>79457</x:v>
      </x:c>
      <x:c r="I222" s="24" t="n">
        <x:v>0.6141299083706243</x:v>
      </x:c>
      <x:c r="J222" s="24" t="n">
        <x:v>0.12530119524646807</x:v>
      </x:c>
      <x:c r="K222" s="24" t="n">
        <x:v>0.3697155518085462</x:v>
      </x:c>
      <x:c r="L222" s="24" t="n">
        <x:v>0.34808823466300964</x:v>
      </x:c>
      <x:c r="M222" s="24" t="n">
        <x:v>0.613731790112617</x:v>
      </x:c>
      <x:c r="N222" s="24" t="n">
        <x:v>0.1250226075771915</x:v>
      </x:c>
      <x:c r="O222" s="24" t="n">
        <x:v>0.3693771988449043</x:v>
      </x:c>
      <x:c r="P222" s="24"/>
      <x:c r="Q222" s="24"/>
      <x:c r="R222" s="24"/>
      <x:c r="S222" s="24"/>
      <x:c r="T222" s="24"/>
      <x:c r="U222" s="24"/>
      <x:c r="V222" s="24"/>
      <x:c r="W222" s="23" t="n">
        <x:v>38</x:v>
      </x:c>
      <x:c r="X222" s="23" t="n">
        <x:v>58</x:v>
      </x:c>
      <x:c r="Y222" s="25" t="n">
        <x:v>42.484859227051494</x:v>
      </x:c>
      <x:c r="Z222" s="23" t="str">
        <x:v>benchmark/preprocessing_training/dim_600/moving_average/cnmr/seed_41/cnn/cnmr/original/metrics.json</x:v>
      </x:c>
    </x:row>
    <x:row r="223">
      <x:c r="A223" s="23" t="str">
        <x:v>moving_average</x:v>
      </x:c>
      <x:c r="B223" s="23" t="str">
        <x:v>cnmr</x:v>
      </x:c>
      <x:c r="C223" s="23" t="str">
        <x:v>mps</x:v>
      </x:c>
      <x:c r="D223" s="23" t="n">
        <x:v>41</x:v>
      </x:c>
      <x:c r="E223" s="23" t="n">
        <x:v>600</x:v>
      </x:c>
      <x:c r="F223" s="23"/>
      <x:c r="G223" s="23"/>
      <x:c r="H223" s="23"/>
      <x:c r="I223" s="24" t="n">
        <x:v>0.6088</x:v>
      </x:c>
      <x:c r="J223" s="24" t="n">
        <x:v>0.3034</x:v>
      </x:c>
      <x:c r="K223" s="24" t="n">
        <x:v>0.4561</x:v>
      </x:c>
      <x:c r="L223" s="24" t="n">
        <x:v>8.8484</x:v>
      </x:c>
      <x:c r="M223" s="24" t="n">
        <x:v>0.6088771281856793</x:v>
      </x:c>
      <x:c r="N223" s="24" t="n">
        <x:v>0.2991802294915678</x:v>
      </x:c>
      <x:c r="O223" s="24" t="n">
        <x:v>0.4540286788386235</x:v>
      </x:c>
      <x:c r="P223" s="24" t="n">
        <x:v>8.5599</x:v>
      </x:c>
      <x:c r="Q223" s="24" t="n">
        <x:v>0.0134</x:v>
      </x:c>
      <x:c r="R223" s="24" t="n">
        <x:v>0.6825</x:v>
      </x:c>
      <x:c r="S223" s="24" t="n">
        <x:v>0.5152</x:v>
      </x:c>
      <x:c r="T223" s="24" t="n">
        <x:v>0.2529</x:v>
      </x:c>
      <x:c r="U223" s="24" t="n">
        <x:v>0.7443</x:v>
      </x:c>
      <x:c r="V223" s="24" t="n">
        <x:v>0.4224</x:v>
      </x:c>
      <x:c r="W223" s="23" t="n">
        <x:v>184</x:v>
      </x:c>
      <x:c r="X223" s="23" t="n">
        <x:v>185</x:v>
      </x:c>
      <x:c r="Y223" s="25" t="n">
        <x:v>325</x:v>
      </x:c>
      <x:c r="Z223" s="23" t="str">
        <x:v>benchmark/preprocessing_training/dim_600/moving_average/cnmr/seed_41/mps/results/metrics.json</x:v>
      </x:c>
    </x:row>
    <x:row r="224">
      <x:c r="A224" s="23" t="str">
        <x:v>moving_average</x:v>
      </x:c>
      <x:c r="B224" s="23" t="str">
        <x:v>cnmr</x:v>
      </x:c>
      <x:c r="C224" s="23" t="str">
        <x:v>ttn</x:v>
      </x:c>
      <x:c r="D224" s="23" t="n">
        <x:v>41</x:v>
      </x:c>
      <x:c r="E224" s="23" t="n">
        <x:v>600</x:v>
      </x:c>
      <x:c r="F224" s="23"/>
      <x:c r="G224" s="23"/>
      <x:c r="H224" s="23"/>
      <x:c r="I224" s="24" t="n">
        <x:v>0.7158036973988382</x:v>
      </x:c>
      <x:c r="J224" s="24" t="n">
        <x:v>0.33111277271459566</x:v>
      </x:c>
      <x:c r="K224" s="24" t="n">
        <x:v>0.523458235056717</x:v>
      </x:c>
      <x:c r="L224" s="24" t="n">
        <x:v>0.335833</x:v>
      </x:c>
      <x:c r="M224" s="24" t="n">
        <x:v>0.716490386844249</x:v>
      </x:c>
      <x:c r="N224" s="24" t="n">
        <x:v>0.33050676285765185</x:v>
      </x:c>
      <x:c r="O224" s="24" t="n">
        <x:v>0.5234985748509504</x:v>
      </x:c>
      <x:c r="P224" s="24" t="n">
        <x:v>0.334897</x:v>
      </x:c>
      <x:c r="Q224" s="24"/>
      <x:c r="R224" s="24"/>
      <x:c r="S224" s="24" t="n">
        <x:v>0.720613</x:v>
      </x:c>
      <x:c r="T224" s="24"/>
      <x:c r="U224" s="24" t="n">
        <x:v>0.712415</x:v>
      </x:c>
      <x:c r="V224" s="24"/>
      <x:c r="W224" s="23" t="n">
        <x:v>51</x:v>
      </x:c>
      <x:c r="X224" s="23" t="n">
        <x:v>71</x:v>
      </x:c>
      <x:c r="Y224" s="25" t="n">
        <x:v>22.431166666666666</x:v>
      </x:c>
      <x:c r="Z224" s="23" t="str">
        <x:v>benchmark/preprocessing_training/dim_600/moving_average/cnmr/seed_41/ttn/metrics.json</x:v>
      </x:c>
    </x:row>
    <x:row r="225">
      <x:c r="A225" s="23" t="str">
        <x:v>moving_average</x:v>
      </x:c>
      <x:c r="B225" s="23" t="str">
        <x:v>cnmr</x:v>
      </x:c>
      <x:c r="C225" s="23" t="str">
        <x:v>xgboost</x:v>
      </x:c>
      <x:c r="D225" s="23" t="n">
        <x:v>41</x:v>
      </x:c>
      <x:c r="E225" s="23" t="n">
        <x:v>600</x:v>
      </x:c>
      <x:c r="F225" s="23" t="n">
        <x:v>635496</x:v>
      </x:c>
      <x:c r="G225" s="23" t="n">
        <x:v>79450</x:v>
      </x:c>
      <x:c r="H225" s="23" t="n">
        <x:v>79457</x:v>
      </x:c>
      <x:c r="I225" s="24" t="n">
        <x:v>0.7905485639777874</x:v>
      </x:c>
      <x:c r="J225" s="24" t="n">
        <x:v>0.4022243503746542</x:v>
      </x:c>
      <x:c r="K225" s="24" t="n">
        <x:v>0.5963864571762207</x:v>
      </x:c>
      <x:c r="L225" s="24"/>
      <x:c r="M225" s="24" t="n">
        <x:v>0.7907967866135078</x:v>
      </x:c>
      <x:c r="N225" s="24" t="n">
        <x:v>0.3969458158458326</x:v>
      </x:c>
      <x:c r="O225" s="24" t="n">
        <x:v>0.5938713012296702</x:v>
      </x:c>
      <x:c r="P225" s="24"/>
      <x:c r="Q225" s="24"/>
      <x:c r="R225" s="24"/>
      <x:c r="S225" s="24"/>
      <x:c r="T225" s="24"/>
      <x:c r="U225" s="24"/>
      <x:c r="V225" s="24"/>
      <x:c r="W225" s="23"/>
      <x:c r="X225" s="23"/>
      <x:c r="Y225" s="25" t="n">
        <x:v>5.191236359715306</x:v>
      </x:c>
      <x:c r="Z225" s="23" t="str">
        <x:v>benchmark/preprocessing_training/dim_600/moving_average/cnmr/seed_41/xgboost/cnmr/original/metrics.json</x:v>
      </x:c>
    </x:row>
    <x:row r="226">
      <x:c r="A226" s="23" t="str">
        <x:v>moving_average</x:v>
      </x:c>
      <x:c r="B226" s="23" t="str">
        <x:v>hnmr</x:v>
      </x:c>
      <x:c r="C226" s="23" t="str">
        <x:v>cnn</x:v>
      </x:c>
      <x:c r="D226" s="23" t="n">
        <x:v>41</x:v>
      </x:c>
      <x:c r="E226" s="23" t="n">
        <x:v>600</x:v>
      </x:c>
      <x:c r="F226" s="23" t="n">
        <x:v>635496</x:v>
      </x:c>
      <x:c r="G226" s="23" t="n">
        <x:v>79450</x:v>
      </x:c>
      <x:c r="H226" s="23" t="n">
        <x:v>79457</x:v>
      </x:c>
      <x:c r="I226" s="24" t="n">
        <x:v>0.420004705056442</x:v>
      </x:c>
      <x:c r="J226" s="24" t="n">
        <x:v>0.043701971213119896</x:v>
      </x:c>
      <x:c r="K226" s="24" t="n">
        <x:v>0.23185333813478096</x:v>
      </x:c>
      <x:c r="L226" s="24" t="n">
        <x:v>8.387828826904297</x:v>
      </x:c>
      <x:c r="M226" s="24" t="n">
        <x:v>0.4198261070877138</x:v>
      </x:c>
      <x:c r="N226" s="24" t="n">
        <x:v>0.04367765805187726</x:v>
      </x:c>
      <x:c r="O226" s="24" t="n">
        <x:v>0.2317518825697955</x:v>
      </x:c>
      <x:c r="P226" s="24"/>
      <x:c r="Q226" s="24"/>
      <x:c r="R226" s="24"/>
      <x:c r="S226" s="24"/>
      <x:c r="T226" s="24"/>
      <x:c r="U226" s="24"/>
      <x:c r="V226" s="24"/>
      <x:c r="W226" s="23" t="n">
        <x:v>19</x:v>
      </x:c>
      <x:c r="X226" s="23" t="n">
        <x:v>21</x:v>
      </x:c>
      <x:c r="Y226" s="25" t="n">
        <x:v>15.844427160383201</x:v>
      </x:c>
      <x:c r="Z226" s="23" t="str">
        <x:v>benchmark/preprocessing_training/dim_600/moving_average/hnmr/seed_41/cnn/hnmr/original/metrics.json</x:v>
      </x:c>
    </x:row>
    <x:row r="227">
      <x:c r="A227" s="23" t="str">
        <x:v>moving_average</x:v>
      </x:c>
      <x:c r="B227" s="23" t="str">
        <x:v>hnmr</x:v>
      </x:c>
      <x:c r="C227" s="23" t="str">
        <x:v>mps</x:v>
      </x:c>
      <x:c r="D227" s="23" t="n">
        <x:v>41</x:v>
      </x:c>
      <x:c r="E227" s="23" t="n">
        <x:v>600</x:v>
      </x:c>
      <x:c r="F227" s="23"/>
      <x:c r="G227" s="23"/>
      <x:c r="H227" s="23"/>
      <x:c r="I227" s="24" t="n">
        <x:v>0.6607</x:v>
      </x:c>
      <x:c r="J227" s="24" t="n">
        <x:v>0.3475</x:v>
      </x:c>
      <x:c r="K227" s="24" t="n">
        <x:v>0.5041</x:v>
      </x:c>
      <x:c r="L227" s="24" t="n">
        <x:v>8.8668</x:v>
      </x:c>
      <x:c r="M227" s="24" t="n">
        <x:v>0.6620401696168211</x:v>
      </x:c>
      <x:c r="N227" s="24" t="n">
        <x:v>0.3422566190129688</x:v>
      </x:c>
      <x:c r="O227" s="24" t="n">
        <x:v>0.502148394314895</x:v>
      </x:c>
      <x:c r="P227" s="24" t="n">
        <x:v>9.4405</x:v>
      </x:c>
      <x:c r="Q227" s="24" t="n">
        <x:v>0.0401</x:v>
      </x:c>
      <x:c r="R227" s="24" t="n">
        <x:v>0.6964</x:v>
      </x:c>
      <x:c r="S227" s="24" t="n">
        <x:v>0.6097</x:v>
      </x:c>
      <x:c r="T227" s="24" t="n">
        <x:v>0.3221</x:v>
      </x:c>
      <x:c r="U227" s="24" t="n">
        <x:v>0.7242</x:v>
      </x:c>
      <x:c r="V227" s="24" t="n">
        <x:v>0.383</x:v>
      </x:c>
      <x:c r="W227" s="23" t="n">
        <x:v>177</x:v>
      </x:c>
      <x:c r="X227" s="23" t="n">
        <x:v>177</x:v>
      </x:c>
      <x:c r="Y227" s="25" t="n">
        <x:v>141</x:v>
      </x:c>
      <x:c r="Z227" s="23" t="str">
        <x:v>benchmark/preprocessing_training/dim_600/moving_average/hnmr/seed_41/mps/results/metrics.json</x:v>
      </x:c>
    </x:row>
    <x:row r="228">
      <x:c r="A228" s="23" t="str">
        <x:v>moving_average</x:v>
      </x:c>
      <x:c r="B228" s="23" t="str">
        <x:v>hnmr</x:v>
      </x:c>
      <x:c r="C228" s="23" t="str">
        <x:v>ttn</x:v>
      </x:c>
      <x:c r="D228" s="23" t="n">
        <x:v>41</x:v>
      </x:c>
      <x:c r="E228" s="23" t="n">
        <x:v>600</x:v>
      </x:c>
      <x:c r="F228" s="23"/>
      <x:c r="G228" s="23"/>
      <x:c r="H228" s="23"/>
      <x:c r="I228" s="24" t="n">
        <x:v>0.6901198094386726</x:v>
      </x:c>
      <x:c r="J228" s="24" t="n">
        <x:v>0.28958472650638906</x:v>
      </x:c>
      <x:c r="K228" s="24" t="n">
        <x:v>0.4898522679725308</x:v>
      </x:c>
      <x:c r="L228" s="24" t="n">
        <x:v>0.352035</x:v>
      </x:c>
      <x:c r="M228" s="24" t="n">
        <x:v>0.6899644921091306</x:v>
      </x:c>
      <x:c r="N228" s="24" t="n">
        <x:v>0.28317741368620725</x:v>
      </x:c>
      <x:c r="O228" s="24" t="n">
        <x:v>0.48657095289766894</x:v>
      </x:c>
      <x:c r="P228" s="24" t="n">
        <x:v>0.352708</x:v>
      </x:c>
      <x:c r="Q228" s="24"/>
      <x:c r="R228" s="24"/>
      <x:c r="S228" s="24" t="n">
        <x:v>0.714358</x:v>
      </x:c>
      <x:c r="T228" s="24"/>
      <x:c r="U228" s="24" t="n">
        <x:v>0.667182</x:v>
      </x:c>
      <x:c r="V228" s="24"/>
      <x:c r="W228" s="23" t="n">
        <x:v>27</x:v>
      </x:c>
      <x:c r="X228" s="23" t="n">
        <x:v>69</x:v>
      </x:c>
      <x:c r="Y228" s="25" t="n">
        <x:v>20.716666666666665</x:v>
      </x:c>
      <x:c r="Z228" s="23" t="str">
        <x:v>benchmark/preprocessing_training/dim_600/moving_average/hnmr/seed_41/ttn/metrics.json</x:v>
      </x:c>
    </x:row>
    <x:row r="229">
      <x:c r="A229" s="23" t="str">
        <x:v>moving_average</x:v>
      </x:c>
      <x:c r="B229" s="23" t="str">
        <x:v>hnmr</x:v>
      </x:c>
      <x:c r="C229" s="23" t="str">
        <x:v>xgboost</x:v>
      </x:c>
      <x:c r="D229" s="23" t="n">
        <x:v>41</x:v>
      </x:c>
      <x:c r="E229" s="23" t="n">
        <x:v>600</x:v>
      </x:c>
      <x:c r="F229" s="23" t="n">
        <x:v>635496</x:v>
      </x:c>
      <x:c r="G229" s="23" t="n">
        <x:v>79450</x:v>
      </x:c>
      <x:c r="H229" s="23" t="n">
        <x:v>79457</x:v>
      </x:c>
      <x:c r="I229" s="24" t="n">
        <x:v>0.761449844621013</x:v>
      </x:c>
      <x:c r="J229" s="24" t="n">
        <x:v>0.3594018077605464</x:v>
      </x:c>
      <x:c r="K229" s="24" t="n">
        <x:v>0.5604258261907797</x:v>
      </x:c>
      <x:c r="L229" s="24"/>
      <x:c r="M229" s="24" t="n">
        <x:v>0.7627849329094143</x:v>
      </x:c>
      <x:c r="N229" s="24" t="n">
        <x:v>0.34451110975170446</x:v>
      </x:c>
      <x:c r="O229" s="24" t="n">
        <x:v>0.5536480213305593</x:v>
      </x:c>
      <x:c r="P229" s="24"/>
      <x:c r="Q229" s="24"/>
      <x:c r="R229" s="24"/>
      <x:c r="S229" s="24"/>
      <x:c r="T229" s="24"/>
      <x:c r="U229" s="24"/>
      <x:c r="V229" s="24"/>
      <x:c r="W229" s="23"/>
      <x:c r="X229" s="23"/>
      <x:c r="Y229" s="25" t="n">
        <x:v>5.171742165767743</x:v>
      </x:c>
      <x:c r="Z229" s="23" t="str">
        <x:v>benchmark/preprocessing_training/dim_600/moving_average/hnmr/seed_41/xgboost/hnmr/original/metrics.json</x:v>
      </x:c>
    </x:row>
    <x:row r="230">
      <x:c r="A230" s="23" t="str">
        <x:v>moving_average</x:v>
      </x:c>
      <x:c r="B230" s="23" t="str">
        <x:v>ir</x:v>
      </x:c>
      <x:c r="C230" s="23" t="str">
        <x:v>cnn</x:v>
      </x:c>
      <x:c r="D230" s="23" t="n">
        <x:v>41</x:v>
      </x:c>
      <x:c r="E230" s="23" t="n">
        <x:v>600</x:v>
      </x:c>
      <x:c r="F230" s="23" t="n">
        <x:v>635496</x:v>
      </x:c>
      <x:c r="G230" s="23" t="n">
        <x:v>79450</x:v>
      </x:c>
      <x:c r="H230" s="23" t="n">
        <x:v>79457</x:v>
      </x:c>
      <x:c r="I230" s="24" t="n">
        <x:v>0.870286242120104</x:v>
      </x:c>
      <x:c r="J230" s="24" t="n">
        <x:v>0.6141757506542959</x:v>
      </x:c>
      <x:c r="K230" s="24" t="n">
        <x:v>0.7422309963871999</x:v>
      </x:c>
      <x:c r="L230" s="24" t="n">
        <x:v>0.08985291421413422</x:v>
      </x:c>
      <x:c r="M230" s="24" t="n">
        <x:v>0.8703700204352134</x:v>
      </x:c>
      <x:c r="N230" s="24" t="n">
        <x:v>0.6169455685824825</x:v>
      </x:c>
      <x:c r="O230" s="24" t="n">
        <x:v>0.743657794508848</x:v>
      </x:c>
      <x:c r="P230" s="24"/>
      <x:c r="Q230" s="24"/>
      <x:c r="R230" s="24"/>
      <x:c r="S230" s="24"/>
      <x:c r="T230" s="24"/>
      <x:c r="U230" s="24"/>
      <x:c r="V230" s="24"/>
      <x:c r="W230" s="23" t="n">
        <x:v>32</x:v>
      </x:c>
      <x:c r="X230" s="23" t="n">
        <x:v>41</x:v>
      </x:c>
      <x:c r="Y230" s="25" t="n">
        <x:v>30.721788334369194</x:v>
      </x:c>
      <x:c r="Z230" s="23" t="str">
        <x:v>benchmark/preprocessing_training/dim_600/moving_average/ir/seed_41/cnn/ir/original/metrics.json</x:v>
      </x:c>
    </x:row>
    <x:row r="231">
      <x:c r="A231" s="23" t="str">
        <x:v>moving_average</x:v>
      </x:c>
      <x:c r="B231" s="23" t="str">
        <x:v>ir</x:v>
      </x:c>
      <x:c r="C231" s="23" t="str">
        <x:v>mps</x:v>
      </x:c>
      <x:c r="D231" s="23" t="n">
        <x:v>41</x:v>
      </x:c>
      <x:c r="E231" s="23" t="n">
        <x:v>600</x:v>
      </x:c>
      <x:c r="F231" s="23"/>
      <x:c r="G231" s="23"/>
      <x:c r="H231" s="23"/>
      <x:c r="I231" s="24" t="n">
        <x:v>0.848</x:v>
      </x:c>
      <x:c r="J231" s="24" t="n">
        <x:v>0.6923</x:v>
      </x:c>
      <x:c r="K231" s="24" t="n">
        <x:v>0.77015</x:v>
      </x:c>
      <x:c r="L231" s="24" t="n">
        <x:v>3.734</x:v>
      </x:c>
      <x:c r="M231" s="24" t="n">
        <x:v>0.8479531215807689</x:v>
      </x:c>
      <x:c r="N231" s="24" t="n">
        <x:v>0.6905295193393384</x:v>
      </x:c>
      <x:c r="O231" s="24" t="n">
        <x:v>0.7692413204600537</x:v>
      </x:c>
      <x:c r="P231" s="24" t="n">
        <x:v>3.6173</x:v>
      </x:c>
      <x:c r="Q231" s="24" t="n">
        <x:v>0.2689</x:v>
      </x:c>
      <x:c r="R231" s="24" t="n">
        <x:v>0.8481</x:v>
      </x:c>
      <x:c r="S231" s="24" t="n">
        <x:v>0.8703</x:v>
      </x:c>
      <x:c r="T231" s="24" t="n">
        <x:v>0.7461</x:v>
      </x:c>
      <x:c r="U231" s="24" t="n">
        <x:v>0.8268</x:v>
      </x:c>
      <x:c r="V231" s="24" t="n">
        <x:v>0.6632</x:v>
      </x:c>
      <x:c r="W231" s="23" t="n">
        <x:v>181</x:v>
      </x:c>
      <x:c r="X231" s="23" t="n">
        <x:v>191</x:v>
      </x:c>
      <x:c r="Y231" s="25" t="n">
        <x:v>150.5</x:v>
      </x:c>
      <x:c r="Z231" s="23" t="str">
        <x:v>benchmark/preprocessing_training/dim_600/moving_average/ir/seed_41/mps/results/metrics.json</x:v>
      </x:c>
    </x:row>
    <x:row r="232">
      <x:c r="A232" s="23" t="str">
        <x:v>moving_average</x:v>
      </x:c>
      <x:c r="B232" s="23" t="str">
        <x:v>ir</x:v>
      </x:c>
      <x:c r="C232" s="23" t="str">
        <x:v>ttn</x:v>
      </x:c>
      <x:c r="D232" s="23" t="n">
        <x:v>41</x:v>
      </x:c>
      <x:c r="E232" s="23" t="n">
        <x:v>600</x:v>
      </x:c>
      <x:c r="F232" s="23"/>
      <x:c r="G232" s="23"/>
      <x:c r="H232" s="23"/>
      <x:c r="I232" s="24" t="n">
        <x:v>0.8264576820526756</x:v>
      </x:c>
      <x:c r="J232" s="24" t="n">
        <x:v>0.5823663896543123</x:v>
      </x:c>
      <x:c r="K232" s="24" t="n">
        <x:v>0.704412035853494</x:v>
      </x:c>
      <x:c r="L232" s="24" t="n">
        <x:v>0.181449</x:v>
      </x:c>
      <x:c r="M232" s="24" t="n">
        <x:v>0.8264398907567745</x:v>
      </x:c>
      <x:c r="N232" s="24" t="n">
        <x:v>0.5779969617227385</x:v>
      </x:c>
      <x:c r="O232" s="24" t="n">
        <x:v>0.7022184262397565</x:v>
      </x:c>
      <x:c r="P232" s="24" t="n">
        <x:v>0.180655</x:v>
      </x:c>
      <x:c r="Q232" s="24"/>
      <x:c r="R232" s="24"/>
      <x:c r="S232" s="24" t="n">
        <x:v>0.819635</x:v>
      </x:c>
      <x:c r="T232" s="24"/>
      <x:c r="U232" s="24" t="n">
        <x:v>0.833359</x:v>
      </x:c>
      <x:c r="V232" s="24"/>
      <x:c r="W232" s="23" t="n">
        <x:v>34</x:v>
      </x:c>
      <x:c r="X232" s="23" t="n">
        <x:v>54</x:v>
      </x:c>
      <x:c r="Y232" s="25" t="n">
        <x:v>16.300833333333333</x:v>
      </x:c>
      <x:c r="Z232" s="23" t="str">
        <x:v>benchmark/preprocessing_training/dim_600/moving_average/ir/seed_41/ttn/metrics.json</x:v>
      </x:c>
    </x:row>
    <x:row r="233">
      <x:c r="A233" s="23" t="str">
        <x:v>moving_average</x:v>
      </x:c>
      <x:c r="B233" s="23" t="str">
        <x:v>ir</x:v>
      </x:c>
      <x:c r="C233" s="23" t="str">
        <x:v>xgboost</x:v>
      </x:c>
      <x:c r="D233" s="23" t="n">
        <x:v>41</x:v>
      </x:c>
      <x:c r="E233" s="23" t="n">
        <x:v>600</x:v>
      </x:c>
      <x:c r="F233" s="23" t="n">
        <x:v>635496</x:v>
      </x:c>
      <x:c r="G233" s="23" t="n">
        <x:v>79450</x:v>
      </x:c>
      <x:c r="H233" s="23" t="n">
        <x:v>79457</x:v>
      </x:c>
      <x:c r="I233" s="24" t="n">
        <x:v>0.8405091422812009</x:v>
      </x:c>
      <x:c r="J233" s="24" t="n">
        <x:v>0.5650500788353422</x:v>
      </x:c>
      <x:c r="K233" s="24" t="n">
        <x:v>0.7027796105582715</x:v>
      </x:c>
      <x:c r="L233" s="24"/>
      <x:c r="M233" s="24" t="n">
        <x:v>0.8410505592091484</x:v>
      </x:c>
      <x:c r="N233" s="24" t="n">
        <x:v>0.5533651317652679</x:v>
      </x:c>
      <x:c r="O233" s="24" t="n">
        <x:v>0.6972078454872082</x:v>
      </x:c>
      <x:c r="P233" s="24"/>
      <x:c r="Q233" s="24"/>
      <x:c r="R233" s="24"/>
      <x:c r="S233" s="24"/>
      <x:c r="T233" s="24"/>
      <x:c r="U233" s="24"/>
      <x:c r="V233" s="24"/>
      <x:c r="W233" s="23"/>
      <x:c r="X233" s="23"/>
      <x:c r="Y233" s="25" t="n">
        <x:v>5.93542800412979</x:v>
      </x:c>
      <x:c r="Z233" s="23" t="str">
        <x:v>benchmark/preprocessing_training/dim_600/moving_average/ir/seed_41/xgboost/ir/original/metrics.json</x:v>
      </x:c>
    </x:row>
    <x:row r="234">
      <x:c r="A234" s="23" t="str">
        <x:v>moving_average</x:v>
      </x:c>
      <x:c r="B234" s="23" t="str">
        <x:v>msms_neg</x:v>
      </x:c>
      <x:c r="C234" s="23" t="str">
        <x:v>cnn</x:v>
      </x:c>
      <x:c r="D234" s="23" t="n">
        <x:v>41</x:v>
      </x:c>
      <x:c r="E234" s="23" t="n">
        <x:v>600</x:v>
      </x:c>
      <x:c r="F234" s="23" t="n">
        <x:v>635496</x:v>
      </x:c>
      <x:c r="G234" s="23" t="n">
        <x:v>79450</x:v>
      </x:c>
      <x:c r="H234" s="23" t="n">
        <x:v>79457</x:v>
      </x:c>
      <x:c r="I234" s="24" t="n">
        <x:v>0.6330223824330995</x:v>
      </x:c>
      <x:c r="J234" s="24" t="n">
        <x:v>0.11737763343562813</x:v>
      </x:c>
      <x:c r="K234" s="24" t="n">
        <x:v>0.3752000079343638</x:v>
      </x:c>
      <x:c r="L234" s="24" t="n">
        <x:v>0.20118741691112518</x:v>
      </x:c>
      <x:c r="M234" s="24" t="n">
        <x:v>0.6342025928479077</x:v>
      </x:c>
      <x:c r="N234" s="24" t="n">
        <x:v>0.11751350318482344</x:v>
      </x:c>
      <x:c r="O234" s="24" t="n">
        <x:v>0.3758580480163656</x:v>
      </x:c>
      <x:c r="P234" s="24"/>
      <x:c r="Q234" s="24"/>
      <x:c r="R234" s="24"/>
      <x:c r="S234" s="24"/>
      <x:c r="T234" s="24"/>
      <x:c r="U234" s="24"/>
      <x:c r="V234" s="24"/>
      <x:c r="W234" s="23" t="n">
        <x:v>36</x:v>
      </x:c>
      <x:c r="X234" s="23" t="n">
        <x:v>37</x:v>
      </x:c>
      <x:c r="Y234" s="25" t="n">
        <x:v>27.510190901785002</x:v>
      </x:c>
      <x:c r="Z234" s="23" t="str">
        <x:v>benchmark/preprocessing_training/dim_600/moving_average/msms_neg/seed_41/cnn/neg_msms/original/metrics.json</x:v>
      </x:c>
    </x:row>
    <x:row r="235">
      <x:c r="A235" s="23" t="str">
        <x:v>moving_average</x:v>
      </x:c>
      <x:c r="B235" s="23" t="str">
        <x:v>msms_neg</x:v>
      </x:c>
      <x:c r="C235" s="23" t="str">
        <x:v>mps</x:v>
      </x:c>
      <x:c r="D235" s="23" t="n">
        <x:v>41</x:v>
      </x:c>
      <x:c r="E235" s="23" t="n">
        <x:v>600</x:v>
      </x:c>
      <x:c r="F235" s="23"/>
      <x:c r="G235" s="23"/>
      <x:c r="H235" s="23"/>
      <x:c r="I235" s="24" t="n">
        <x:v>0.279</x:v>
      </x:c>
      <x:c r="J235" s="24" t="n">
        <x:v>0.1734</x:v>
      </x:c>
      <x:c r="K235" s="24" t="n">
        <x:v>0.2262</x:v>
      </x:c>
      <x:c r="L235" s="24" t="n">
        <x:v>1.2536</x:v>
      </x:c>
      <x:c r="M235" s="24" t="n">
        <x:v>0.277479836886714</x:v>
      </x:c>
      <x:c r="N235" s="24" t="n">
        <x:v>0.1729728401678944</x:v>
      </x:c>
      <x:c r="O235" s="24" t="n">
        <x:v>0.22522633852730423</x:v>
      </x:c>
      <x:c r="P235" s="24" t="n">
        <x:v>1.5051</x:v>
      </x:c>
      <x:c r="Q235" s="24" t="n">
        <x:v>0</x:v>
      </x:c>
      <x:c r="R235" s="24" t="n">
        <x:v>0.5412</x:v>
      </x:c>
      <x:c r="S235" s="24" t="n">
        <x:v>0.1834</x:v>
      </x:c>
      <x:c r="T235" s="24" t="n">
        <x:v>0.1576</x:v>
      </x:c>
      <x:c r="U235" s="24" t="n">
        <x:v>0.5699</x:v>
      </x:c>
      <x:c r="V235" s="24" t="n">
        <x:v>0.561</x:v>
      </x:c>
      <x:c r="W235" s="23" t="n">
        <x:v>21</x:v>
      </x:c>
      <x:c r="X235" s="23" t="n">
        <x:v>41</x:v>
      </x:c>
      <x:c r="Y235" s="25" t="n">
        <x:v>33.6</x:v>
      </x:c>
      <x:c r="Z235" s="23" t="str">
        <x:v>benchmark/preprocessing_training/dim_600/moving_average/msms_neg/seed_41/mps/results/metrics.json</x:v>
      </x:c>
    </x:row>
    <x:row r="236">
      <x:c r="A236" s="23" t="str">
        <x:v>moving_average</x:v>
      </x:c>
      <x:c r="B236" s="23" t="str">
        <x:v>msms_neg</x:v>
      </x:c>
      <x:c r="C236" s="23" t="str">
        <x:v>ttn</x:v>
      </x:c>
      <x:c r="D236" s="23" t="n">
        <x:v>41</x:v>
      </x:c>
      <x:c r="E236" s="23" t="n">
        <x:v>600</x:v>
      </x:c>
      <x:c r="F236" s="23"/>
      <x:c r="G236" s="23"/>
      <x:c r="H236" s="23"/>
      <x:c r="I236" s="24" t="n">
        <x:v>0.640919972389079</x:v>
      </x:c>
      <x:c r="J236" s="24" t="n">
        <x:v>0.14938907272146015</x:v>
      </x:c>
      <x:c r="K236" s="24" t="n">
        <x:v>0.3951545225552696</x:v>
      </x:c>
      <x:c r="L236" s="24" t="n">
        <x:v>0.401516</x:v>
      </x:c>
      <x:c r="M236" s="24" t="n">
        <x:v>0.6412563624858877</x:v>
      </x:c>
      <x:c r="N236" s="24" t="n">
        <x:v>0.15048946682387063</x:v>
      </x:c>
      <x:c r="O236" s="24" t="n">
        <x:v>0.39587291465487917</x:v>
      </x:c>
      <x:c r="P236" s="24" t="n">
        <x:v>0.401861</x:v>
      </x:c>
      <x:c r="Q236" s="24"/>
      <x:c r="R236" s="24"/>
      <x:c r="S236" s="24" t="n">
        <x:v>0.724345</x:v>
      </x:c>
      <x:c r="T236" s="24"/>
      <x:c r="U236" s="24" t="n">
        <x:v>0.575268</x:v>
      </x:c>
      <x:c r="V236" s="24"/>
      <x:c r="W236" s="23" t="n">
        <x:v>38</x:v>
      </x:c>
      <x:c r="X236" s="23" t="n">
        <x:v>58</x:v>
      </x:c>
      <x:c r="Y236" s="25" t="n">
        <x:v>17.1615</x:v>
      </x:c>
      <x:c r="Z236" s="23" t="str">
        <x:v>benchmark/preprocessing_training/dim_600/moving_average/msms_neg/seed_41/ttn/metrics.json</x:v>
      </x:c>
    </x:row>
    <x:row r="237">
      <x:c r="A237" s="23" t="str">
        <x:v>moving_average</x:v>
      </x:c>
      <x:c r="B237" s="23" t="str">
        <x:v>msms_neg</x:v>
      </x:c>
      <x:c r="C237" s="23" t="str">
        <x:v>xgboost</x:v>
      </x:c>
      <x:c r="D237" s="23" t="n">
        <x:v>41</x:v>
      </x:c>
      <x:c r="E237" s="23" t="n">
        <x:v>600</x:v>
      </x:c>
      <x:c r="F237" s="23" t="n">
        <x:v>635496</x:v>
      </x:c>
      <x:c r="G237" s="23" t="n">
        <x:v>79450</x:v>
      </x:c>
      <x:c r="H237" s="23" t="n">
        <x:v>79457</x:v>
      </x:c>
      <x:c r="I237" s="24" t="n">
        <x:v>0.6296799545799603</x:v>
      </x:c>
      <x:c r="J237" s="24" t="n">
        <x:v>0.11340272626744541</x:v>
      </x:c>
      <x:c r="K237" s="24" t="n">
        <x:v>0.37154134042370285</x:v>
      </x:c>
      <x:c r="L237" s="24"/>
      <x:c r="M237" s="24" t="n">
        <x:v>0.6299696531653567</x:v>
      </x:c>
      <x:c r="N237" s="24" t="n">
        <x:v>0.11350629281745099</x:v>
      </x:c>
      <x:c r="O237" s="24" t="n">
        <x:v>0.3717379729914038</x:v>
      </x:c>
      <x:c r="P237" s="24"/>
      <x:c r="Q237" s="24"/>
      <x:c r="R237" s="24"/>
      <x:c r="S237" s="24"/>
      <x:c r="T237" s="24"/>
      <x:c r="U237" s="24"/>
      <x:c r="V237" s="24"/>
      <x:c r="W237" s="23"/>
      <x:c r="X237" s="23"/>
      <x:c r="Y237" s="25" t="n">
        <x:v>2.715142452600412</x:v>
      </x:c>
      <x:c r="Z237" s="23" t="str">
        <x:v>benchmark/preprocessing_training/dim_600/moving_average/msms_neg/seed_41/xgboost/neg_msms/original/metrics.json</x:v>
      </x:c>
    </x:row>
    <x:row r="238">
      <x:c r="A238" s="23" t="str">
        <x:v>moving_average</x:v>
      </x:c>
      <x:c r="B238" s="23" t="str">
        <x:v>msms_pos</x:v>
      </x:c>
      <x:c r="C238" s="23" t="str">
        <x:v>cnn</x:v>
      </x:c>
      <x:c r="D238" s="23" t="n">
        <x:v>41</x:v>
      </x:c>
      <x:c r="E238" s="23" t="n">
        <x:v>600</x:v>
      </x:c>
      <x:c r="F238" s="23" t="n">
        <x:v>635496</x:v>
      </x:c>
      <x:c r="G238" s="23" t="n">
        <x:v>79450</x:v>
      </x:c>
      <x:c r="H238" s="23" t="n">
        <x:v>79457</x:v>
      </x:c>
      <x:c r="I238" s="24" t="n">
        <x:v>0.6411216231909881</x:v>
      </x:c>
      <x:c r="J238" s="24" t="n">
        <x:v>0.11176097260622467</x:v>
      </x:c>
      <x:c r="K238" s="24" t="n">
        <x:v>0.37644129789860636</x:v>
      </x:c>
      <x:c r="L238" s="24" t="n">
        <x:v>0.19892337918281555</x:v>
      </x:c>
      <x:c r="M238" s="24" t="n">
        <x:v>0.6404120880433622</x:v>
      </x:c>
      <x:c r="N238" s="24" t="n">
        <x:v>0.11169691994757458</x:v>
      </x:c>
      <x:c r="O238" s="24" t="n">
        <x:v>0.3760545039954684</x:v>
      </x:c>
      <x:c r="P238" s="24"/>
      <x:c r="Q238" s="24"/>
      <x:c r="R238" s="24"/>
      <x:c r="S238" s="24"/>
      <x:c r="T238" s="24"/>
      <x:c r="U238" s="24"/>
      <x:c r="V238" s="24"/>
      <x:c r="W238" s="23" t="n">
        <x:v>21</x:v>
      </x:c>
      <x:c r="X238" s="23" t="n">
        <x:v>33</x:v>
      </x:c>
      <x:c r="Y238" s="25" t="n">
        <x:v>24.517412769348205</x:v>
      </x:c>
      <x:c r="Z238" s="23" t="str">
        <x:v>benchmark/preprocessing_training/dim_600/moving_average/msms_pos/seed_41/cnn/pos_msms/original/metrics.json</x:v>
      </x:c>
    </x:row>
    <x:row r="239">
      <x:c r="A239" s="23" t="str">
        <x:v>moving_average</x:v>
      </x:c>
      <x:c r="B239" s="23" t="str">
        <x:v>msms_pos</x:v>
      </x:c>
      <x:c r="C239" s="23" t="str">
        <x:v>mps</x:v>
      </x:c>
      <x:c r="D239" s="23" t="n">
        <x:v>41</x:v>
      </x:c>
      <x:c r="E239" s="23" t="n">
        <x:v>600</x:v>
      </x:c>
      <x:c r="F239" s="23"/>
      <x:c r="G239" s="23"/>
      <x:c r="H239" s="23"/>
      <x:c r="I239" s="24" t="n">
        <x:v>0.2891</x:v>
      </x:c>
      <x:c r="J239" s="24" t="n">
        <x:v>0.1689</x:v>
      </x:c>
      <x:c r="K239" s="24" t="n">
        <x:v>0.229</x:v>
      </x:c>
      <x:c r="L239" s="24" t="n">
        <x:v>1.2104</x:v>
      </x:c>
      <x:c r="M239" s="24" t="n">
        <x:v>0.288477041544454</x:v>
      </x:c>
      <x:c r="N239" s="24" t="n">
        <x:v>0.1690535810918482</x:v>
      </x:c>
      <x:c r="O239" s="24" t="n">
        <x:v>0.22876531131815112</x:v>
      </x:c>
      <x:c r="P239" s="24" t="n">
        <x:v>1.2097</x:v>
      </x:c>
      <x:c r="Q239" s="24" t="n">
        <x:v>0</x:v>
      </x:c>
      <x:c r="R239" s="24" t="n">
        <x:v>0.5491</x:v>
      </x:c>
      <x:c r="S239" s="24" t="n">
        <x:v>0.1878</x:v>
      </x:c>
      <x:c r="T239" s="24" t="n">
        <x:v>0.1473</x:v>
      </x:c>
      <x:c r="U239" s="24" t="n">
        <x:v>0.6216</x:v>
      </x:c>
      <x:c r="V239" s="24" t="n">
        <x:v>0.5416</x:v>
      </x:c>
      <x:c r="W239" s="23" t="n">
        <x:v>1</x:v>
      </x:c>
      <x:c r="X239" s="23" t="n">
        <x:v>21</x:v>
      </x:c>
      <x:c r="Y239" s="25" t="n">
        <x:v>17.3</x:v>
      </x:c>
      <x:c r="Z239" s="23" t="str">
        <x:v>benchmark/preprocessing_training/dim_600/moving_average/msms_pos/seed_41/mps/results/metrics.json</x:v>
      </x:c>
    </x:row>
    <x:row r="240">
      <x:c r="A240" s="23" t="str">
        <x:v>moving_average</x:v>
      </x:c>
      <x:c r="B240" s="23" t="str">
        <x:v>msms_pos</x:v>
      </x:c>
      <x:c r="C240" s="23" t="str">
        <x:v>ttn</x:v>
      </x:c>
      <x:c r="D240" s="23" t="n">
        <x:v>41</x:v>
      </x:c>
      <x:c r="E240" s="23" t="n">
        <x:v>600</x:v>
      </x:c>
      <x:c r="F240" s="23"/>
      <x:c r="G240" s="23"/>
      <x:c r="H240" s="23"/>
      <x:c r="I240" s="24" t="n">
        <x:v>0.6439738757406457</x:v>
      </x:c>
      <x:c r="J240" s="24" t="n">
        <x:v>0.1479059642837119</x:v>
      </x:c>
      <x:c r="K240" s="24" t="n">
        <x:v>0.3959399200121788</x:v>
      </x:c>
      <x:c r="L240" s="24" t="n">
        <x:v>0.399827</x:v>
      </x:c>
      <x:c r="M240" s="24" t="n">
        <x:v>0.6433146982604485</x:v>
      </x:c>
      <x:c r="N240" s="24" t="n">
        <x:v>0.14889719899747314</x:v>
      </x:c>
      <x:c r="O240" s="24" t="n">
        <x:v>0.3961059486289608</x:v>
      </x:c>
      <x:c r="P240" s="24" t="n">
        <x:v>0.399953</x:v>
      </x:c>
      <x:c r="Q240" s="24"/>
      <x:c r="R240" s="24"/>
      <x:c r="S240" s="24" t="n">
        <x:v>0.728828</x:v>
      </x:c>
      <x:c r="T240" s="24"/>
      <x:c r="U240" s="24" t="n">
        <x:v>0.575761</x:v>
      </x:c>
      <x:c r="V240" s="24"/>
      <x:c r="W240" s="23" t="n">
        <x:v>4</x:v>
      </x:c>
      <x:c r="X240" s="23" t="n">
        <x:v>72</x:v>
      </x:c>
      <x:c r="Y240" s="25" t="n">
        <x:v>21.285833333333336</x:v>
      </x:c>
      <x:c r="Z240" s="23" t="str">
        <x:v>benchmark/preprocessing_training/dim_600/moving_average/msms_pos/seed_41/ttn/metrics.json</x:v>
      </x:c>
    </x:row>
    <x:row r="241">
      <x:c r="A241" s="23" t="str">
        <x:v>moving_average</x:v>
      </x:c>
      <x:c r="B241" s="23" t="str">
        <x:v>msms_pos</x:v>
      </x:c>
      <x:c r="C241" s="23" t="str">
        <x:v>xgboost</x:v>
      </x:c>
      <x:c r="D241" s="23" t="n">
        <x:v>41</x:v>
      </x:c>
      <x:c r="E241" s="23" t="n">
        <x:v>600</x:v>
      </x:c>
      <x:c r="F241" s="23" t="n">
        <x:v>635496</x:v>
      </x:c>
      <x:c r="G241" s="23" t="n">
        <x:v>79450</x:v>
      </x:c>
      <x:c r="H241" s="23" t="n">
        <x:v>79457</x:v>
      </x:c>
      <x:c r="I241" s="24" t="n">
        <x:v>0.6387642900776682</x:v>
      </x:c>
      <x:c r="J241" s="24" t="n">
        <x:v>0.10685149578877062</x:v>
      </x:c>
      <x:c r="K241" s="24" t="n">
        <x:v>0.3728078929332194</x:v>
      </x:c>
      <x:c r="L241" s="24"/>
      <x:c r="M241" s="24" t="n">
        <x:v>0.6379328428178683</x:v>
      </x:c>
      <x:c r="N241" s="24" t="n">
        <x:v>0.1073893330511098</x:v>
      </x:c>
      <x:c r="O241" s="24" t="n">
        <x:v>0.37266108793448904</x:v>
      </x:c>
      <x:c r="P241" s="24"/>
      <x:c r="Q241" s="24"/>
      <x:c r="R241" s="24"/>
      <x:c r="S241" s="24"/>
      <x:c r="T241" s="24"/>
      <x:c r="U241" s="24"/>
      <x:c r="V241" s="24"/>
      <x:c r="W241" s="23"/>
      <x:c r="X241" s="23"/>
      <x:c r="Y241" s="25" t="n">
        <x:v>2.868474477401469</x:v>
      </x:c>
      <x:c r="Z241" s="23" t="str">
        <x:v>benchmark/preprocessing_training/dim_600/moving_average/msms_pos/seed_41/xgboost/pos_msms/original/metrics.json</x:v>
      </x:c>
    </x:row>
    <x:row r="242">
      <x:c r="A242" s="23" t="str">
        <x:v>none</x:v>
      </x:c>
      <x:c r="B242" s="23" t="str">
        <x:v>cnmr</x:v>
      </x:c>
      <x:c r="C242" s="23" t="str">
        <x:v>cnn</x:v>
      </x:c>
      <x:c r="D242" s="23" t="n">
        <x:v>41</x:v>
      </x:c>
      <x:c r="E242" s="23" t="n">
        <x:v>600</x:v>
      </x:c>
      <x:c r="F242" s="23" t="n">
        <x:v>635496</x:v>
      </x:c>
      <x:c r="G242" s="23" t="n">
        <x:v>79450</x:v>
      </x:c>
      <x:c r="H242" s="23" t="n">
        <x:v>79457</x:v>
      </x:c>
      <x:c r="I242" s="24" t="n">
        <x:v>0.5428028402334325</x:v>
      </x:c>
      <x:c r="J242" s="24" t="n">
        <x:v>0.06851201774619832</x:v>
      </x:c>
      <x:c r="K242" s="24" t="n">
        <x:v>0.3056574289898154</x:v>
      </x:c>
      <x:c r="L242" s="24" t="n">
        <x:v>0.822955846786499</x:v>
      </x:c>
      <x:c r="M242" s="24" t="n">
        <x:v>0.5421184119642201</x:v>
      </x:c>
      <x:c r="N242" s="24" t="n">
        <x:v>0.06842645408811579</x:v>
      </x:c>
      <x:c r="O242" s="24" t="n">
        <x:v>0.3052724330261679</x:v>
      </x:c>
      <x:c r="P242" s="24"/>
      <x:c r="Q242" s="24"/>
      <x:c r="R242" s="24"/>
      <x:c r="S242" s="24"/>
      <x:c r="T242" s="24"/>
      <x:c r="U242" s="24"/>
      <x:c r="V242" s="24"/>
      <x:c r="W242" s="23" t="n">
        <x:v>19</x:v>
      </x:c>
      <x:c r="X242" s="23" t="n">
        <x:v>42</x:v>
      </x:c>
      <x:c r="Y242" s="25" t="n">
        <x:v>32.22134382971562</x:v>
      </x:c>
      <x:c r="Z242" s="23" t="str">
        <x:v>benchmark/preprocessing_training/dim_600/none/cnmr/seed_41/cnn/cnmr/original/metrics.json</x:v>
      </x:c>
    </x:row>
    <x:row r="243">
      <x:c r="A243" s="23" t="str">
        <x:v>none</x:v>
      </x:c>
      <x:c r="B243" s="23" t="str">
        <x:v>cnmr</x:v>
      </x:c>
      <x:c r="C243" s="23" t="str">
        <x:v>mps</x:v>
      </x:c>
      <x:c r="D243" s="23" t="n">
        <x:v>41</x:v>
      </x:c>
      <x:c r="E243" s="23" t="n">
        <x:v>600</x:v>
      </x:c>
      <x:c r="F243" s="23"/>
      <x:c r="G243" s="23"/>
      <x:c r="H243" s="23"/>
      <x:c r="I243" s="24" t="n">
        <x:v>0.6439</x:v>
      </x:c>
      <x:c r="J243" s="24" t="n">
        <x:v>0.3324</x:v>
      </x:c>
      <x:c r="K243" s="24" t="n">
        <x:v>0.48815</x:v>
      </x:c>
      <x:c r="L243" s="24" t="n">
        <x:v>10.2306</x:v>
      </x:c>
      <x:c r="M243" s="24" t="n">
        <x:v>0.6447384561464996</x:v>
      </x:c>
      <x:c r="N243" s="24" t="n">
        <x:v>0.33372154313876207</x:v>
      </x:c>
      <x:c r="O243" s="24" t="n">
        <x:v>0.4892299996426308</x:v>
      </x:c>
      <x:c r="P243" s="24" t="n">
        <x:v>9.6153</x:v>
      </x:c>
      <x:c r="Q243" s="24" t="n">
        <x:v>0.0301</x:v>
      </x:c>
      <x:c r="R243" s="24" t="n">
        <x:v>0.6881</x:v>
      </x:c>
      <x:c r="S243" s="24" t="n">
        <x:v>0.5793</x:v>
      </x:c>
      <x:c r="T243" s="24" t="n">
        <x:v>0.3022</x:v>
      </x:c>
      <x:c r="U243" s="24" t="n">
        <x:v>0.7269</x:v>
      </x:c>
      <x:c r="V243" s="24" t="n">
        <x:v>0.3964</x:v>
      </x:c>
      <x:c r="W243" s="23" t="n">
        <x:v>181</x:v>
      </x:c>
      <x:c r="X243" s="23" t="n">
        <x:v>181</x:v>
      </x:c>
      <x:c r="Y243" s="25" t="n">
        <x:v>318</x:v>
      </x:c>
      <x:c r="Z243" s="23" t="str">
        <x:v>benchmark/preprocessing_training/dim_600/none/cnmr/seed_41/mps/results/metrics.json</x:v>
      </x:c>
    </x:row>
    <x:row r="244">
      <x:c r="A244" s="23" t="str">
        <x:v>none</x:v>
      </x:c>
      <x:c r="B244" s="23" t="str">
        <x:v>cnmr</x:v>
      </x:c>
      <x:c r="C244" s="23" t="str">
        <x:v>ttn</x:v>
      </x:c>
      <x:c r="D244" s="23" t="n">
        <x:v>41</x:v>
      </x:c>
      <x:c r="E244" s="23" t="n">
        <x:v>600</x:v>
      </x:c>
      <x:c r="F244" s="23"/>
      <x:c r="G244" s="23"/>
      <x:c r="H244" s="23"/>
      <x:c r="I244" s="24" t="n">
        <x:v>0.7122714609831918</x:v>
      </x:c>
      <x:c r="J244" s="24" t="n">
        <x:v>0.33445608440169944</x:v>
      </x:c>
      <x:c r="K244" s="24" t="n">
        <x:v>0.5233637726924456</x:v>
      </x:c>
      <x:c r="L244" s="24" t="n">
        <x:v>0.335513</x:v>
      </x:c>
      <x:c r="M244" s="24" t="n">
        <x:v>0.7136471931793569</x:v>
      </x:c>
      <x:c r="N244" s="24" t="n">
        <x:v>0.33191130191508444</x:v>
      </x:c>
      <x:c r="O244" s="24" t="n">
        <x:v>0.5227792475472206</x:v>
      </x:c>
      <x:c r="P244" s="24" t="n">
        <x:v>0.335029</x:v>
      </x:c>
      <x:c r="Q244" s="24"/>
      <x:c r="R244" s="24"/>
      <x:c r="S244" s="24" t="n">
        <x:v>0.711284</x:v>
      </x:c>
      <x:c r="T244" s="24"/>
      <x:c r="U244" s="24" t="n">
        <x:v>0.716026</x:v>
      </x:c>
      <x:c r="V244" s="24"/>
      <x:c r="W244" s="23" t="n">
        <x:v>47</x:v>
      </x:c>
      <x:c r="X244" s="23" t="n">
        <x:v>67</x:v>
      </x:c>
      <x:c r="Y244" s="25" t="n">
        <x:v>26.18316666666667</x:v>
      </x:c>
      <x:c r="Z244" s="23" t="str">
        <x:v>benchmark/preprocessing_training/dim_600/none/cnmr/seed_41/ttn/metrics.json</x:v>
      </x:c>
    </x:row>
    <x:row r="245">
      <x:c r="A245" s="23" t="str">
        <x:v>none</x:v>
      </x:c>
      <x:c r="B245" s="23" t="str">
        <x:v>cnmr</x:v>
      </x:c>
      <x:c r="C245" s="23" t="str">
        <x:v>xgboost</x:v>
      </x:c>
      <x:c r="D245" s="23" t="n">
        <x:v>41</x:v>
      </x:c>
      <x:c r="E245" s="23" t="n">
        <x:v>600</x:v>
      </x:c>
      <x:c r="F245" s="23" t="n">
        <x:v>635496</x:v>
      </x:c>
      <x:c r="G245" s="23" t="n">
        <x:v>79450</x:v>
      </x:c>
      <x:c r="H245" s="23" t="n">
        <x:v>79457</x:v>
      </x:c>
      <x:c r="I245" s="24" t="n">
        <x:v>0.7889971697837949</x:v>
      </x:c>
      <x:c r="J245" s="24" t="n">
        <x:v>0.4190274147048362</x:v>
      </x:c>
      <x:c r="K245" s="24" t="n">
        <x:v>0.6040122922443155</x:v>
      </x:c>
      <x:c r="L245" s="24"/>
      <x:c r="M245" s="24" t="n">
        <x:v>0.7890503138602921</x:v>
      </x:c>
      <x:c r="N245" s="24" t="n">
        <x:v>0.4131132255237764</x:v>
      </x:c>
      <x:c r="O245" s="24" t="n">
        <x:v>0.6010817696920343</x:v>
      </x:c>
      <x:c r="P245" s="24"/>
      <x:c r="Q245" s="24"/>
      <x:c r="R245" s="24"/>
      <x:c r="S245" s="24"/>
      <x:c r="T245" s="24"/>
      <x:c r="U245" s="24"/>
      <x:c r="V245" s="24"/>
      <x:c r="W245" s="23"/>
      <x:c r="X245" s="23"/>
      <x:c r="Y245" s="25" t="n">
        <x:v>3.986184904233475</x:v>
      </x:c>
      <x:c r="Z245" s="23" t="str">
        <x:v>benchmark/preprocessing_training/dim_600/none/cnmr/seed_41/xgboost/cnmr/original/metrics.json</x:v>
      </x:c>
    </x:row>
    <x:row r="246">
      <x:c r="A246" s="23" t="str">
        <x:v>none</x:v>
      </x:c>
      <x:c r="B246" s="23" t="str">
        <x:v>hnmr</x:v>
      </x:c>
      <x:c r="C246" s="23" t="str">
        <x:v>cnn</x:v>
      </x:c>
      <x:c r="D246" s="23" t="n">
        <x:v>41</x:v>
      </x:c>
      <x:c r="E246" s="23" t="n">
        <x:v>600</x:v>
      </x:c>
      <x:c r="F246" s="23" t="n">
        <x:v>635496</x:v>
      </x:c>
      <x:c r="G246" s="23" t="n">
        <x:v>79450</x:v>
      </x:c>
      <x:c r="H246" s="23" t="n">
        <x:v>79457</x:v>
      </x:c>
      <x:c r="I246" s="24" t="n">
        <x:v>0.6115272091200331</x:v>
      </x:c>
      <x:c r="J246" s="24" t="n">
        <x:v>0.09739197222085086</x:v>
      </x:c>
      <x:c r="K246" s="24" t="n">
        <x:v>0.35445959067044197</x:v>
      </x:c>
      <x:c r="L246" s="24" t="n">
        <x:v>3.047994375228882</x:v>
      </x:c>
      <x:c r="M246" s="24" t="n">
        <x:v>0.6115011056280198</x:v>
      </x:c>
      <x:c r="N246" s="24" t="n">
        <x:v>0.09732615859573808</x:v>
      </x:c>
      <x:c r="O246" s="24" t="n">
        <x:v>0.354413632111879</x:v>
      </x:c>
      <x:c r="P246" s="24"/>
      <x:c r="Q246" s="24"/>
      <x:c r="R246" s="24"/>
      <x:c r="S246" s="24"/>
      <x:c r="T246" s="24"/>
      <x:c r="U246" s="24"/>
      <x:c r="V246" s="24"/>
      <x:c r="W246" s="23" t="n">
        <x:v>11</x:v>
      </x:c>
      <x:c r="X246" s="23" t="n">
        <x:v>21</x:v>
      </x:c>
      <x:c r="Y246" s="25" t="n">
        <x:v>16.291108211533476</x:v>
      </x:c>
      <x:c r="Z246" s="23" t="str">
        <x:v>benchmark/preprocessing_training/dim_600/none/hnmr/seed_41/cnn/hnmr/original/metrics.json</x:v>
      </x:c>
    </x:row>
    <x:row r="247">
      <x:c r="A247" s="23" t="str">
        <x:v>none</x:v>
      </x:c>
      <x:c r="B247" s="23" t="str">
        <x:v>hnmr</x:v>
      </x:c>
      <x:c r="C247" s="23" t="str">
        <x:v>mps</x:v>
      </x:c>
      <x:c r="D247" s="23" t="n">
        <x:v>41</x:v>
      </x:c>
      <x:c r="E247" s="23" t="n">
        <x:v>600</x:v>
      </x:c>
      <x:c r="F247" s="23"/>
      <x:c r="G247" s="23"/>
      <x:c r="H247" s="23"/>
      <x:c r="I247" s="24" t="n">
        <x:v>0.6972</x:v>
      </x:c>
      <x:c r="J247" s="24" t="n">
        <x:v>0.3726</x:v>
      </x:c>
      <x:c r="K247" s="24" t="n">
        <x:v>0.5349</x:v>
      </x:c>
      <x:c r="L247" s="24" t="n">
        <x:v>9.9565</x:v>
      </x:c>
      <x:c r="M247" s="24" t="n">
        <x:v>0.6975058781320673</x:v>
      </x:c>
      <x:c r="N247" s="24" t="n">
        <x:v>0.36815217974348846</x:v>
      </x:c>
      <x:c r="O247" s="24" t="n">
        <x:v>0.532829028937778</x:v>
      </x:c>
      <x:c r="P247" s="24" t="n">
        <x:v>9.9855</x:v>
      </x:c>
      <x:c r="Q247" s="24" t="n">
        <x:v>0.0716</x:v>
      </x:c>
      <x:c r="R247" s="24" t="n">
        <x:v>0.7084</x:v>
      </x:c>
      <x:c r="S247" s="24" t="n">
        <x:v>0.6791</x:v>
      </x:c>
      <x:c r="T247" s="24" t="n">
        <x:v>0.3845</x:v>
      </x:c>
      <x:c r="U247" s="24" t="n">
        <x:v>0.7169</x:v>
      </x:c>
      <x:c r="V247" s="24" t="n">
        <x:v>0.3642</x:v>
      </x:c>
      <x:c r="W247" s="23" t="n">
        <x:v>157</x:v>
      </x:c>
      <x:c r="X247" s="23" t="n">
        <x:v>167</x:v>
      </x:c>
      <x:c r="Y247" s="25" t="n">
        <x:v>113.9</x:v>
      </x:c>
      <x:c r="Z247" s="23" t="str">
        <x:v>benchmark/preprocessing_training/dim_600/none/hnmr/seed_41/mps/results/metrics.json</x:v>
      </x:c>
    </x:row>
    <x:row r="248">
      <x:c r="A248" s="23" t="str">
        <x:v>none</x:v>
      </x:c>
      <x:c r="B248" s="23" t="str">
        <x:v>hnmr</x:v>
      </x:c>
      <x:c r="C248" s="23" t="str">
        <x:v>ttn</x:v>
      </x:c>
      <x:c r="D248" s="23" t="n">
        <x:v>41</x:v>
      </x:c>
      <x:c r="E248" s="23" t="n">
        <x:v>600</x:v>
      </x:c>
      <x:c r="F248" s="23"/>
      <x:c r="G248" s="23"/>
      <x:c r="H248" s="23"/>
      <x:c r="I248" s="24" t="n">
        <x:v>0.6845130558963628</x:v>
      </x:c>
      <x:c r="J248" s="24" t="n">
        <x:v>0.30257424770396785</x:v>
      </x:c>
      <x:c r="K248" s="24" t="n">
        <x:v>0.49354365180016535</x:v>
      </x:c>
      <x:c r="L248" s="24" t="n">
        <x:v>0.418627</x:v>
      </x:c>
      <x:c r="M248" s="24" t="n">
        <x:v>0.6858525519047189</x:v>
      </x:c>
      <x:c r="N248" s="24" t="n">
        <x:v>0.29643784119698174</x:v>
      </x:c>
      <x:c r="O248" s="24" t="n">
        <x:v>0.4911451965508503</x:v>
      </x:c>
      <x:c r="P248" s="24" t="n">
        <x:v>0.418912</x:v>
      </x:c>
      <x:c r="Q248" s="24"/>
      <x:c r="R248" s="24"/>
      <x:c r="S248" s="24" t="n">
        <x:v>0.690079</x:v>
      </x:c>
      <x:c r="T248" s="24"/>
      <x:c r="U248" s="24" t="n">
        <x:v>0.681677</x:v>
      </x:c>
      <x:c r="V248" s="24"/>
      <x:c r="W248" s="23" t="n">
        <x:v>65</x:v>
      </x:c>
      <x:c r="X248" s="23" t="n">
        <x:v>85</x:v>
      </x:c>
      <x:c r="Y248" s="25" t="n">
        <x:v>26.838666666666665</x:v>
      </x:c>
      <x:c r="Z248" s="23" t="str">
        <x:v>benchmark/preprocessing_training/dim_600/none/hnmr/seed_41/ttn/metrics.json</x:v>
      </x:c>
    </x:row>
    <x:row r="249">
      <x:c r="A249" s="23" t="str">
        <x:v>none</x:v>
      </x:c>
      <x:c r="B249" s="23" t="str">
        <x:v>hnmr</x:v>
      </x:c>
      <x:c r="C249" s="23" t="str">
        <x:v>xgboost</x:v>
      </x:c>
      <x:c r="D249" s="23" t="n">
        <x:v>41</x:v>
      </x:c>
      <x:c r="E249" s="23" t="n">
        <x:v>600</x:v>
      </x:c>
      <x:c r="F249" s="23" t="n">
        <x:v>635496</x:v>
      </x:c>
      <x:c r="G249" s="23" t="n">
        <x:v>79450</x:v>
      </x:c>
      <x:c r="H249" s="23" t="n">
        <x:v>79457</x:v>
      </x:c>
      <x:c r="I249" s="24" t="n">
        <x:v>0.7639894139433061</x:v>
      </x:c>
      <x:c r="J249" s="24" t="n">
        <x:v>0.3770895266490726</x:v>
      </x:c>
      <x:c r="K249" s="24" t="n">
        <x:v>0.5705394702961893</x:v>
      </x:c>
      <x:c r="L249" s="24"/>
      <x:c r="M249" s="24" t="n">
        <x:v>0.7645593016155915</x:v>
      </x:c>
      <x:c r="N249" s="24" t="n">
        <x:v>0.3677340614302773</x:v>
      </x:c>
      <x:c r="O249" s="24" t="n">
        <x:v>0.5661466815229343</x:v>
      </x:c>
      <x:c r="P249" s="24"/>
      <x:c r="Q249" s="24"/>
      <x:c r="R249" s="24"/>
      <x:c r="S249" s="24"/>
      <x:c r="T249" s="24"/>
      <x:c r="U249" s="24"/>
      <x:c r="V249" s="24"/>
      <x:c r="W249" s="23"/>
      <x:c r="X249" s="23"/>
      <x:c r="Y249" s="25" t="n">
        <x:v>4.027280925299662</x:v>
      </x:c>
      <x:c r="Z249" s="23" t="str">
        <x:v>benchmark/preprocessing_training/dim_600/none/hnmr/seed_41/xgboost/hnmr/original/metrics.json</x:v>
      </x:c>
    </x:row>
    <x:row r="250">
      <x:c r="A250" s="23" t="str">
        <x:v>none</x:v>
      </x:c>
      <x:c r="B250" s="23" t="str">
        <x:v>ir</x:v>
      </x:c>
      <x:c r="C250" s="23" t="str">
        <x:v>cnn</x:v>
      </x:c>
      <x:c r="D250" s="23" t="n">
        <x:v>41</x:v>
      </x:c>
      <x:c r="E250" s="23" t="n">
        <x:v>600</x:v>
      </x:c>
      <x:c r="F250" s="23" t="n">
        <x:v>635496</x:v>
      </x:c>
      <x:c r="G250" s="23" t="n">
        <x:v>79450</x:v>
      </x:c>
      <x:c r="H250" s="23" t="n">
        <x:v>79457</x:v>
      </x:c>
      <x:c r="I250" s="24" t="n">
        <x:v>0.886493792907196</x:v>
      </x:c>
      <x:c r="J250" s="24" t="n">
        <x:v>0.6529284298016526</x:v>
      </x:c>
      <x:c r="K250" s="24" t="n">
        <x:v>0.7697111113544243</x:v>
      </x:c>
      <x:c r="L250" s="24" t="n">
        <x:v>0.07801565527915955</x:v>
      </x:c>
      <x:c r="M250" s="24" t="n">
        <x:v>0.8871937706227736</x:v>
      </x:c>
      <x:c r="N250" s="24" t="n">
        <x:v>0.6582987599105201</x:v>
      </x:c>
      <x:c r="O250" s="24" t="n">
        <x:v>0.7727462652666468</x:v>
      </x:c>
      <x:c r="P250" s="24"/>
      <x:c r="Q250" s="24"/>
      <x:c r="R250" s="24"/>
      <x:c r="S250" s="24"/>
      <x:c r="T250" s="24"/>
      <x:c r="U250" s="24"/>
      <x:c r="V250" s="24"/>
      <x:c r="W250" s="23" t="n">
        <x:v>37</x:v>
      </x:c>
      <x:c r="X250" s="23" t="n">
        <x:v>41</x:v>
      </x:c>
      <x:c r="Y250" s="25" t="n">
        <x:v>39.871537267864916</x:v>
      </x:c>
      <x:c r="Z250" s="23" t="str">
        <x:v>benchmark/preprocessing_training/dim_600/none/ir/seed_41/cnn/ir/original/metrics.json</x:v>
      </x:c>
    </x:row>
    <x:row r="251">
      <x:c r="A251" s="23" t="str">
        <x:v>none</x:v>
      </x:c>
      <x:c r="B251" s="23" t="str">
        <x:v>ir</x:v>
      </x:c>
      <x:c r="C251" s="23" t="str">
        <x:v>mps</x:v>
      </x:c>
      <x:c r="D251" s="23" t="n">
        <x:v>41</x:v>
      </x:c>
      <x:c r="E251" s="23" t="n">
        <x:v>600</x:v>
      </x:c>
      <x:c r="F251" s="23"/>
      <x:c r="G251" s="23"/>
      <x:c r="H251" s="23"/>
      <x:c r="I251" s="24" t="n">
        <x:v>0.8441</x:v>
      </x:c>
      <x:c r="J251" s="24" t="n">
        <x:v>0.6766</x:v>
      </x:c>
      <x:c r="K251" s="24" t="n">
        <x:v>0.76035</x:v>
      </x:c>
      <x:c r="L251" s="24" t="n">
        <x:v>4.0797</x:v>
      </x:c>
      <x:c r="M251" s="24" t="n">
        <x:v>0.8442856715630701</x:v>
      </x:c>
      <x:c r="N251" s="24" t="n">
        <x:v>0.6676678283062227</x:v>
      </x:c>
      <x:c r="O251" s="24" t="n">
        <x:v>0.7559767499346464</x:v>
      </x:c>
      <x:c r="P251" s="24" t="n">
        <x:v>4.2027</x:v>
      </x:c>
      <x:c r="Q251" s="24" t="n">
        <x:v>0.2611</x:v>
      </x:c>
      <x:c r="R251" s="24" t="n">
        <x:v>0.8426</x:v>
      </x:c>
      <x:c r="S251" s="24" t="n">
        <x:v>0.8723</x:v>
      </x:c>
      <x:c r="T251" s="24" t="n">
        <x:v>0.7204</x:v>
      </x:c>
      <x:c r="U251" s="24" t="n">
        <x:v>0.818</x:v>
      </x:c>
      <x:c r="V251" s="24" t="n">
        <x:v>0.6339</x:v>
      </x:c>
      <x:c r="W251" s="23" t="n">
        <x:v>142</x:v>
      </x:c>
      <x:c r="X251" s="23" t="n">
        <x:v>152</x:v>
      </x:c>
      <x:c r="Y251" s="25" t="n">
        <x:v>107.7</x:v>
      </x:c>
      <x:c r="Z251" s="23" t="str">
        <x:v>benchmark/preprocessing_training/dim_600/none/ir/seed_41/mps/results/metrics.json</x:v>
      </x:c>
    </x:row>
    <x:row r="252">
      <x:c r="A252" s="23" t="str">
        <x:v>none</x:v>
      </x:c>
      <x:c r="B252" s="23" t="str">
        <x:v>ir</x:v>
      </x:c>
      <x:c r="C252" s="23" t="str">
        <x:v>ttn</x:v>
      </x:c>
      <x:c r="D252" s="23" t="n">
        <x:v>41</x:v>
      </x:c>
      <x:c r="E252" s="23" t="n">
        <x:v>600</x:v>
      </x:c>
      <x:c r="F252" s="23"/>
      <x:c r="G252" s="23"/>
      <x:c r="H252" s="23"/>
      <x:c r="I252" s="24" t="n">
        <x:v>0.8308819207615336</x:v>
      </x:c>
      <x:c r="J252" s="24" t="n">
        <x:v>0.5904043266447465</x:v>
      </x:c>
      <x:c r="K252" s="24" t="n">
        <x:v>0.7106431237031401</x:v>
      </x:c>
      <x:c r="L252" s="24" t="n">
        <x:v>0.186352</x:v>
      </x:c>
      <x:c r="M252" s="24" t="n">
        <x:v>0.8312392806517885</x:v>
      </x:c>
      <x:c r="N252" s="24" t="n">
        <x:v>0.5859737444912586</x:v>
      </x:c>
      <x:c r="O252" s="24" t="n">
        <x:v>0.7086065125715235</x:v>
      </x:c>
      <x:c r="P252" s="24" t="n">
        <x:v>0.187357</x:v>
      </x:c>
      <x:c r="Q252" s="24"/>
      <x:c r="R252" s="24"/>
      <x:c r="S252" s="24" t="n">
        <x:v>0.823858</x:v>
      </x:c>
      <x:c r="T252" s="24"/>
      <x:c r="U252" s="24" t="n">
        <x:v>0.838754</x:v>
      </x:c>
      <x:c r="V252" s="24"/>
      <x:c r="W252" s="23" t="n">
        <x:v>37</x:v>
      </x:c>
      <x:c r="X252" s="23" t="n">
        <x:v>57</x:v>
      </x:c>
      <x:c r="Y252" s="25" t="n">
        <x:v>19.011666666666667</x:v>
      </x:c>
      <x:c r="Z252" s="23" t="str">
        <x:v>benchmark/preprocessing_training/dim_600/none/ir/seed_41/ttn/metrics.json</x:v>
      </x:c>
    </x:row>
    <x:row r="253">
      <x:c r="A253" s="23" t="str">
        <x:v>none</x:v>
      </x:c>
      <x:c r="B253" s="23" t="str">
        <x:v>ir</x:v>
      </x:c>
      <x:c r="C253" s="23" t="str">
        <x:v>xgboost</x:v>
      </x:c>
      <x:c r="D253" s="23" t="n">
        <x:v>41</x:v>
      </x:c>
      <x:c r="E253" s="23" t="n">
        <x:v>600</x:v>
      </x:c>
      <x:c r="F253" s="23" t="n">
        <x:v>635496</x:v>
      </x:c>
      <x:c r="G253" s="23" t="n">
        <x:v>79450</x:v>
      </x:c>
      <x:c r="H253" s="23" t="n">
        <x:v>79457</x:v>
      </x:c>
      <x:c r="I253" s="24" t="n">
        <x:v>0.8343271537133762</x:v>
      </x:c>
      <x:c r="J253" s="24" t="n">
        <x:v>0.5442550889279698</x:v>
      </x:c>
      <x:c r="K253" s="24" t="n">
        <x:v>0.6892911213206729</x:v>
      </x:c>
      <x:c r="L253" s="24"/>
      <x:c r="M253" s="24" t="n">
        <x:v>0.8347789295536281</x:v>
      </x:c>
      <x:c r="N253" s="24" t="n">
        <x:v>0.5357303019039888</x:v>
      </x:c>
      <x:c r="O253" s="24" t="n">
        <x:v>0.6852546157288084</x:v>
      </x:c>
      <x:c r="P253" s="24"/>
      <x:c r="Q253" s="24"/>
      <x:c r="R253" s="24"/>
      <x:c r="S253" s="24"/>
      <x:c r="T253" s="24"/>
      <x:c r="U253" s="24"/>
      <x:c r="V253" s="24"/>
      <x:c r="W253" s="23"/>
      <x:c r="X253" s="23"/>
      <x:c r="Y253" s="25" t="n">
        <x:v>6.124494007400547</x:v>
      </x:c>
      <x:c r="Z253" s="23" t="str">
        <x:v>benchmark/preprocessing_training/dim_600/none/ir/seed_41/xgboost/ir/original/metrics.json</x:v>
      </x:c>
    </x:row>
    <x:row r="254">
      <x:c r="A254" s="23" t="str">
        <x:v>none</x:v>
      </x:c>
      <x:c r="B254" s="23" t="str">
        <x:v>msms_neg</x:v>
      </x:c>
      <x:c r="C254" s="23" t="str">
        <x:v>cnn</x:v>
      </x:c>
      <x:c r="D254" s="23" t="n">
        <x:v>41</x:v>
      </x:c>
      <x:c r="E254" s="23" t="n">
        <x:v>600</x:v>
      </x:c>
      <x:c r="F254" s="23" t="n">
        <x:v>635496</x:v>
      </x:c>
      <x:c r="G254" s="23" t="n">
        <x:v>79450</x:v>
      </x:c>
      <x:c r="H254" s="23" t="n">
        <x:v>79457</x:v>
      </x:c>
      <x:c r="I254" s="24" t="n">
        <x:v>0.6424353466952226</x:v>
      </x:c>
      <x:c r="J254" s="24" t="n">
        <x:v>0.11807858290178841</x:v>
      </x:c>
      <x:c r="K254" s="24" t="n">
        <x:v>0.3802569647985055</x:v>
      </x:c>
      <x:c r="L254" s="24" t="n">
        <x:v>0.20273128151893616</x:v>
      </x:c>
      <x:c r="M254" s="24" t="n">
        <x:v>0.6435286819114983</x:v>
      </x:c>
      <x:c r="N254" s="24" t="n">
        <x:v>0.11811651159149414</x:v>
      </x:c>
      <x:c r="O254" s="24" t="n">
        <x:v>0.3808225967514962</x:v>
      </x:c>
      <x:c r="P254" s="24"/>
      <x:c r="Q254" s="24"/>
      <x:c r="R254" s="24"/>
      <x:c r="S254" s="24"/>
      <x:c r="T254" s="24"/>
      <x:c r="U254" s="24"/>
      <x:c r="V254" s="24"/>
      <x:c r="W254" s="23" t="n">
        <x:v>19</x:v>
      </x:c>
      <x:c r="X254" s="23" t="n">
        <x:v>32</x:v>
      </x:c>
      <x:c r="Y254" s="25" t="n">
        <x:v>23.931404050649142</x:v>
      </x:c>
      <x:c r="Z254" s="23" t="str">
        <x:v>benchmark/preprocessing_training/dim_600/none/msms_neg/seed_41/cnn/neg_msms/original/metrics.json</x:v>
      </x:c>
    </x:row>
    <x:row r="255">
      <x:c r="A255" s="23" t="str">
        <x:v>none</x:v>
      </x:c>
      <x:c r="B255" s="23" t="str">
        <x:v>msms_neg</x:v>
      </x:c>
      <x:c r="C255" s="23" t="str">
        <x:v>mps</x:v>
      </x:c>
      <x:c r="D255" s="23" t="n">
        <x:v>41</x:v>
      </x:c>
      <x:c r="E255" s="23" t="n">
        <x:v>600</x:v>
      </x:c>
      <x:c r="F255" s="23"/>
      <x:c r="G255" s="23"/>
      <x:c r="H255" s="23"/>
      <x:c r="I255" s="24" t="n">
        <x:v>0.2801</x:v>
      </x:c>
      <x:c r="J255" s="24" t="n">
        <x:v>0.1696</x:v>
      </x:c>
      <x:c r="K255" s="24" t="n">
        <x:v>0.22485</x:v>
      </x:c>
      <x:c r="L255" s="24" t="n">
        <x:v>1.1889</x:v>
      </x:c>
      <x:c r="M255" s="24" t="n">
        <x:v>0.27950703655278825</x:v>
      </x:c>
      <x:c r="N255" s="24" t="n">
        <x:v>0.16972968333776348</x:v>
      </x:c>
      <x:c r="O255" s="24" t="n">
        <x:v>0.22461835994527585</x:v>
      </x:c>
      <x:c r="P255" s="24" t="n">
        <x:v>1.1998</x:v>
      </x:c>
      <x:c r="Q255" s="24" t="n">
        <x:v>0</x:v>
      </x:c>
      <x:c r="R255" s="24" t="n">
        <x:v>0.5428</x:v>
      </x:c>
      <x:c r="S255" s="24" t="n">
        <x:v>0.1822</x:v>
      </x:c>
      <x:c r="T255" s="24" t="n">
        <x:v>0.1508</x:v>
      </x:c>
      <x:c r="U255" s="24" t="n">
        <x:v>0.6003</x:v>
      </x:c>
      <x:c r="V255" s="24" t="n">
        <x:v>0.5599</x:v>
      </x:c>
      <x:c r="W255" s="23" t="n">
        <x:v>1</x:v>
      </x:c>
      <x:c r="X255" s="23" t="n">
        <x:v>21</x:v>
      </x:c>
      <x:c r="Y255" s="25" t="n">
        <x:v>16.2</x:v>
      </x:c>
      <x:c r="Z255" s="23" t="str">
        <x:v>benchmark/preprocessing_training/dim_600/none/msms_neg/seed_41/mps/results/metrics.json</x:v>
      </x:c>
    </x:row>
    <x:row r="256">
      <x:c r="A256" s="23" t="str">
        <x:v>none</x:v>
      </x:c>
      <x:c r="B256" s="23" t="str">
        <x:v>msms_neg</x:v>
      </x:c>
      <x:c r="C256" s="23" t="str">
        <x:v>ttn</x:v>
      </x:c>
      <x:c r="D256" s="23" t="n">
        <x:v>41</x:v>
      </x:c>
      <x:c r="E256" s="23" t="n">
        <x:v>600</x:v>
      </x:c>
      <x:c r="F256" s="23"/>
      <x:c r="G256" s="23"/>
      <x:c r="H256" s="23"/>
      <x:c r="I256" s="24" t="n">
        <x:v>0.6397769440031595</x:v>
      </x:c>
      <x:c r="J256" s="24" t="n">
        <x:v>0.15234019069419996</x:v>
      </x:c>
      <x:c r="K256" s="24" t="n">
        <x:v>0.3960585673486797</x:v>
      </x:c>
      <x:c r="L256" s="24" t="n">
        <x:v>0.400095</x:v>
      </x:c>
      <x:c r="M256" s="24" t="n">
        <x:v>0.6399637020385195</x:v>
      </x:c>
      <x:c r="N256" s="24" t="n">
        <x:v>0.15114538961642487</x:v>
      </x:c>
      <x:c r="O256" s="24" t="n">
        <x:v>0.3955545458274722</x:v>
      </x:c>
      <x:c r="P256" s="24" t="n">
        <x:v>0.401077</x:v>
      </x:c>
      <x:c r="Q256" s="24"/>
      <x:c r="R256" s="24"/>
      <x:c r="S256" s="24" t="n">
        <x:v>0.726003</x:v>
      </x:c>
      <x:c r="T256" s="24"/>
      <x:c r="U256" s="24" t="n">
        <x:v>0.572157</x:v>
      </x:c>
      <x:c r="V256" s="24"/>
      <x:c r="W256" s="23" t="n">
        <x:v>17</x:v>
      </x:c>
      <x:c r="X256" s="23" t="n">
        <x:v>57</x:v>
      </x:c>
      <x:c r="Y256" s="25" t="n">
        <x:v>19.9205</x:v>
      </x:c>
      <x:c r="Z256" s="23" t="str">
        <x:v>benchmark/preprocessing_training/dim_600/none/msms_neg/seed_41/ttn/metrics.json</x:v>
      </x:c>
    </x:row>
    <x:row r="257">
      <x:c r="A257" s="23" t="str">
        <x:v>none</x:v>
      </x:c>
      <x:c r="B257" s="23" t="str">
        <x:v>msms_neg</x:v>
      </x:c>
      <x:c r="C257" s="23" t="str">
        <x:v>xgboost</x:v>
      </x:c>
      <x:c r="D257" s="23" t="n">
        <x:v>41</x:v>
      </x:c>
      <x:c r="E257" s="23" t="n">
        <x:v>600</x:v>
      </x:c>
      <x:c r="F257" s="23" t="n">
        <x:v>635496</x:v>
      </x:c>
      <x:c r="G257" s="23" t="n">
        <x:v>79450</x:v>
      </x:c>
      <x:c r="H257" s="23" t="n">
        <x:v>79457</x:v>
      </x:c>
      <x:c r="I257" s="24" t="n">
        <x:v>0.626464060756116</x:v>
      </x:c>
      <x:c r="J257" s="24" t="n">
        <x:v>0.11095946725925443</x:v>
      </x:c>
      <x:c r="K257" s="24" t="n">
        <x:v>0.36871176400768524</x:v>
      </x:c>
      <x:c r="L257" s="24"/>
      <x:c r="M257" s="24" t="n">
        <x:v>0.6265014232031859</x:v>
      </x:c>
      <x:c r="N257" s="24" t="n">
        <x:v>0.11111037161357867</x:v>
      </x:c>
      <x:c r="O257" s="24" t="n">
        <x:v>0.3688058974083823</x:v>
      </x:c>
      <x:c r="P257" s="24"/>
      <x:c r="Q257" s="24"/>
      <x:c r="R257" s="24"/>
      <x:c r="S257" s="24"/>
      <x:c r="T257" s="24"/>
      <x:c r="U257" s="24"/>
      <x:c r="V257" s="24"/>
      <x:c r="W257" s="23"/>
      <x:c r="X257" s="23"/>
      <x:c r="Y257" s="25" t="n">
        <x:v>2.499847331784743</x:v>
      </x:c>
      <x:c r="Z257" s="23" t="str">
        <x:v>benchmark/preprocessing_training/dim_600/none/msms_neg/seed_41/xgboost/neg_msms/original/metrics.json</x:v>
      </x:c>
    </x:row>
    <x:row r="258">
      <x:c r="A258" s="23" t="str">
        <x:v>none</x:v>
      </x:c>
      <x:c r="B258" s="23" t="str">
        <x:v>msms_pos</x:v>
      </x:c>
      <x:c r="C258" s="23" t="str">
        <x:v>cnn</x:v>
      </x:c>
      <x:c r="D258" s="23" t="n">
        <x:v>41</x:v>
      </x:c>
      <x:c r="E258" s="23" t="n">
        <x:v>600</x:v>
      </x:c>
      <x:c r="F258" s="23" t="n">
        <x:v>635496</x:v>
      </x:c>
      <x:c r="G258" s="23" t="n">
        <x:v>79450</x:v>
      </x:c>
      <x:c r="H258" s="23" t="n">
        <x:v>79457</x:v>
      </x:c>
      <x:c r="I258" s="24" t="n">
        <x:v>0.6403171364778563</x:v>
      </x:c>
      <x:c r="J258" s="24" t="n">
        <x:v>0.10840884366220108</x:v>
      </x:c>
      <x:c r="K258" s="24" t="n">
        <x:v>0.37436299007002866</x:v>
      </x:c>
      <x:c r="L258" s="24" t="n">
        <x:v>0.20697714388370514</x:v>
      </x:c>
      <x:c r="M258" s="24" t="n">
        <x:v>0.6395512189527806</x:v>
      </x:c>
      <x:c r="N258" s="24" t="n">
        <x:v>0.1082490543292841</x:v>
      </x:c>
      <x:c r="O258" s="24" t="n">
        <x:v>0.37390013664103233</x:v>
      </x:c>
      <x:c r="P258" s="24"/>
      <x:c r="Q258" s="24"/>
      <x:c r="R258" s="24"/>
      <x:c r="S258" s="24"/>
      <x:c r="T258" s="24"/>
      <x:c r="U258" s="24"/>
      <x:c r="V258" s="24"/>
      <x:c r="W258" s="23" t="n">
        <x:v>30</x:v>
      </x:c>
      <x:c r="X258" s="23" t="n">
        <x:v>31</x:v>
      </x:c>
      <x:c r="Y258" s="25" t="n">
        <x:v>24.337167457165197</x:v>
      </x:c>
      <x:c r="Z258" s="23" t="str">
        <x:v>benchmark/preprocessing_training/dim_600/none/msms_pos/seed_41/cnn/pos_msms/original/metrics.json</x:v>
      </x:c>
    </x:row>
    <x:row r="259">
      <x:c r="A259" s="23" t="str">
        <x:v>none</x:v>
      </x:c>
      <x:c r="B259" s="23" t="str">
        <x:v>msms_pos</x:v>
      </x:c>
      <x:c r="C259" s="23" t="str">
        <x:v>mps</x:v>
      </x:c>
      <x:c r="D259" s="23" t="n">
        <x:v>41</x:v>
      </x:c>
      <x:c r="E259" s="23" t="n">
        <x:v>600</x:v>
      </x:c>
      <x:c r="F259" s="23"/>
      <x:c r="G259" s="23"/>
      <x:c r="H259" s="23"/>
      <x:c r="I259" s="24" t="n">
        <x:v>0.2867</x:v>
      </x:c>
      <x:c r="J259" s="24" t="n">
        <x:v>0.171</x:v>
      </x:c>
      <x:c r="K259" s="24" t="n">
        <x:v>0.22885</x:v>
      </x:c>
      <x:c r="L259" s="24" t="n">
        <x:v>1.1905</x:v>
      </x:c>
      <x:c r="M259" s="24" t="n">
        <x:v>0.2865462556021904</x:v>
      </x:c>
      <x:c r="N259" s="24" t="n">
        <x:v>0.1710906711574625</x:v>
      </x:c>
      <x:c r="O259" s="24" t="n">
        <x:v>0.22881846337982642</x:v>
      </x:c>
      <x:c r="P259" s="24" t="n">
        <x:v>1.1864</x:v>
      </x:c>
      <x:c r="Q259" s="24" t="n">
        <x:v>0</x:v>
      </x:c>
      <x:c r="R259" s="24" t="n">
        <x:v>0.5419</x:v>
      </x:c>
      <x:c r="S259" s="24" t="n">
        <x:v>0.1891</x:v>
      </x:c>
      <x:c r="T259" s="24" t="n">
        <x:v>0.1527</x:v>
      </x:c>
      <x:c r="U259" s="24" t="n">
        <x:v>0.5914</x:v>
      </x:c>
      <x:c r="V259" s="24" t="n">
        <x:v>0.5394</x:v>
      </x:c>
      <x:c r="W259" s="23" t="n">
        <x:v>1</x:v>
      </x:c>
      <x:c r="X259" s="23" t="n">
        <x:v>21</x:v>
      </x:c>
      <x:c r="Y259" s="25" t="n">
        <x:v>16.3</x:v>
      </x:c>
      <x:c r="Z259" s="23" t="str">
        <x:v>benchmark/preprocessing_training/dim_600/none/msms_pos/seed_41/mps/results/metrics.json</x:v>
      </x:c>
    </x:row>
    <x:row r="260">
      <x:c r="A260" s="23" t="str">
        <x:v>none</x:v>
      </x:c>
      <x:c r="B260" s="23" t="str">
        <x:v>msms_pos</x:v>
      </x:c>
      <x:c r="C260" s="23" t="str">
        <x:v>ttn</x:v>
      </x:c>
      <x:c r="D260" s="23" t="n">
        <x:v>41</x:v>
      </x:c>
      <x:c r="E260" s="23" t="n">
        <x:v>600</x:v>
      </x:c>
      <x:c r="F260" s="23"/>
      <x:c r="G260" s="23"/>
      <x:c r="H260" s="23"/>
      <x:c r="I260" s="24" t="n">
        <x:v>0.6474792277650444</x:v>
      </x:c>
      <x:c r="J260" s="24" t="n">
        <x:v>0.15173947129524168</x:v>
      </x:c>
      <x:c r="K260" s="24" t="n">
        <x:v>0.39960934953014304</x:v>
      </x:c>
      <x:c r="L260" s="24" t="n">
        <x:v>0.398528</x:v>
      </x:c>
      <x:c r="M260" s="24" t="n">
        <x:v>0.6471562817387402</x:v>
      </x:c>
      <x:c r="N260" s="24" t="n">
        <x:v>0.15219892387748107</x:v>
      </x:c>
      <x:c r="O260" s="24" t="n">
        <x:v>0.3996776028081106</x:v>
      </x:c>
      <x:c r="P260" s="24" t="n">
        <x:v>0.398879</x:v>
      </x:c>
      <x:c r="Q260" s="24"/>
      <x:c r="R260" s="24"/>
      <x:c r="S260" s="24" t="n">
        <x:v>0.724199</x:v>
      </x:c>
      <x:c r="T260" s="24"/>
      <x:c r="U260" s="24" t="n">
        <x:v>0.58493</x:v>
      </x:c>
      <x:c r="V260" s="24"/>
      <x:c r="W260" s="23" t="n">
        <x:v>4</x:v>
      </x:c>
      <x:c r="X260" s="23" t="n">
        <x:v>51</x:v>
      </x:c>
      <x:c r="Y260" s="25" t="n">
        <x:v>16.676666666666666</x:v>
      </x:c>
      <x:c r="Z260" s="23" t="str">
        <x:v>benchmark/preprocessing_training/dim_600/none/msms_pos/seed_41/ttn/metrics.json</x:v>
      </x:c>
    </x:row>
    <x:row r="261">
      <x:c r="A261" s="23" t="str">
        <x:v>none</x:v>
      </x:c>
      <x:c r="B261" s="23" t="str">
        <x:v>msms_pos</x:v>
      </x:c>
      <x:c r="C261" s="23" t="str">
        <x:v>xgboost</x:v>
      </x:c>
      <x:c r="D261" s="23" t="n">
        <x:v>41</x:v>
      </x:c>
      <x:c r="E261" s="23" t="n">
        <x:v>600</x:v>
      </x:c>
      <x:c r="F261" s="23" t="n">
        <x:v>635496</x:v>
      </x:c>
      <x:c r="G261" s="23" t="n">
        <x:v>79450</x:v>
      </x:c>
      <x:c r="H261" s="23" t="n">
        <x:v>79457</x:v>
      </x:c>
      <x:c r="I261" s="24" t="n">
        <x:v>0.635294643441452</x:v>
      </x:c>
      <x:c r="J261" s="24" t="n">
        <x:v>0.10420038631361997</x:v>
      </x:c>
      <x:c r="K261" s="24" t="n">
        <x:v>0.369747514877536</x:v>
      </x:c>
      <x:c r="L261" s="24"/>
      <x:c r="M261" s="24" t="n">
        <x:v>0.6342628921751166</x:v>
      </x:c>
      <x:c r="N261" s="24" t="n">
        <x:v>0.10474194264308831</x:v>
      </x:c>
      <x:c r="O261" s="24" t="n">
        <x:v>0.36950241740910245</x:v>
      </x:c>
      <x:c r="P261" s="24"/>
      <x:c r="Q261" s="24"/>
      <x:c r="R261" s="24"/>
      <x:c r="S261" s="24"/>
      <x:c r="T261" s="24"/>
      <x:c r="U261" s="24"/>
      <x:c r="V261" s="24"/>
      <x:c r="W261" s="23"/>
      <x:c r="X261" s="23"/>
      <x:c r="Y261" s="25" t="n">
        <x:v>2.5515991162663947</x:v>
      </x:c>
      <x:c r="Z261" s="23" t="str">
        <x:v>benchmark/preprocessing_training/dim_600/none/msms_pos/seed_41/xgboost/pos_msms/original/metrics.json</x:v>
      </x:c>
    </x:row>
    <x:row r="262">
      <x:c r="A262" s="23" t="str">
        <x:v>pqn</x:v>
      </x:c>
      <x:c r="B262" s="23" t="str">
        <x:v>cnmr</x:v>
      </x:c>
      <x:c r="C262" s="23" t="str">
        <x:v>cnn</x:v>
      </x:c>
      <x:c r="D262" s="23" t="n">
        <x:v>41</x:v>
      </x:c>
      <x:c r="E262" s="23" t="n">
        <x:v>600</x:v>
      </x:c>
      <x:c r="F262" s="23" t="n">
        <x:v>635496</x:v>
      </x:c>
      <x:c r="G262" s="23" t="n">
        <x:v>79450</x:v>
      </x:c>
      <x:c r="H262" s="23" t="n">
        <x:v>79457</x:v>
      </x:c>
      <x:c r="I262" s="24" t="n">
        <x:v>0.6256496416092844</x:v>
      </x:c>
      <x:c r="J262" s="24" t="n">
        <x:v>0.09372357828146503</x:v>
      </x:c>
      <x:c r="K262" s="24" t="n">
        <x:v>0.3596866099453747</x:v>
      </x:c>
      <x:c r="L262" s="24" t="n">
        <x:v>0.21960313618183136</x:v>
      </x:c>
      <x:c r="M262" s="24" t="n">
        <x:v>0.6262533908940747</x:v>
      </x:c>
      <x:c r="N262" s="24" t="n">
        <x:v>0.09400318397107255</x:v>
      </x:c>
      <x:c r="O262" s="24" t="n">
        <x:v>0.36012828743257363</x:v>
      </x:c>
      <x:c r="P262" s="24"/>
      <x:c r="Q262" s="24"/>
      <x:c r="R262" s="24"/>
      <x:c r="S262" s="24"/>
      <x:c r="T262" s="24"/>
      <x:c r="U262" s="24"/>
      <x:c r="V262" s="24"/>
      <x:c r="W262" s="23" t="n">
        <x:v>31</x:v>
      </x:c>
      <x:c r="X262" s="23" t="n">
        <x:v>51</x:v>
      </x:c>
      <x:c r="Y262" s="25" t="n">
        <x:v>39.670972842899694</x:v>
      </x:c>
      <x:c r="Z262" s="23" t="str">
        <x:v>benchmark/preprocessing_training/dim_600/pqn/cnmr/seed_41/cnn/cnmr/original/metrics.json</x:v>
      </x:c>
    </x:row>
    <x:row r="263">
      <x:c r="A263" s="23" t="str">
        <x:v>pqn</x:v>
      </x:c>
      <x:c r="B263" s="23" t="str">
        <x:v>cnmr</x:v>
      </x:c>
      <x:c r="C263" s="23" t="str">
        <x:v>mps</x:v>
      </x:c>
      <x:c r="D263" s="23" t="n">
        <x:v>41</x:v>
      </x:c>
      <x:c r="E263" s="23" t="n">
        <x:v>600</x:v>
      </x:c>
      <x:c r="F263" s="23"/>
      <x:c r="G263" s="23"/>
      <x:c r="H263" s="23"/>
      <x:c r="I263" s="24" t="n">
        <x:v>0.6569</x:v>
      </x:c>
      <x:c r="J263" s="24" t="n">
        <x:v>0.3413</x:v>
      </x:c>
      <x:c r="K263" s="24" t="n">
        <x:v>0.4991</x:v>
      </x:c>
      <x:c r="L263" s="24" t="n">
        <x:v>9.6275</x:v>
      </x:c>
      <x:c r="M263" s="24" t="n">
        <x:v>0.6571138411293697</x:v>
      </x:c>
      <x:c r="N263" s="24" t="n">
        <x:v>0.34303809620101944</x:v>
      </x:c>
      <x:c r="O263" s="24" t="n">
        <x:v>0.5000759686651945</x:v>
      </x:c>
      <x:c r="P263" s="24" t="n">
        <x:v>10.8437</x:v>
      </x:c>
      <x:c r="Q263" s="24" t="n">
        <x:v>0.0342</x:v>
      </x:c>
      <x:c r="R263" s="24" t="n">
        <x:v>0.694</x:v>
      </x:c>
      <x:c r="S263" s="24" t="n">
        <x:v>0.5972</x:v>
      </x:c>
      <x:c r="T263" s="24" t="n">
        <x:v>0.3135</x:v>
      </x:c>
      <x:c r="U263" s="24" t="n">
        <x:v>0.7303</x:v>
      </x:c>
      <x:c r="V263" s="24" t="n">
        <x:v>0.3971</x:v>
      </x:c>
      <x:c r="W263" s="23" t="n">
        <x:v>157</x:v>
      </x:c>
      <x:c r="X263" s="23" t="n">
        <x:v>167</x:v>
      </x:c>
      <x:c r="Y263" s="25" t="n">
        <x:v>454.9</x:v>
      </x:c>
      <x:c r="Z263" s="23" t="str">
        <x:v>benchmark/preprocessing_training/dim_600/pqn/cnmr/seed_41/mps/results/metrics.json</x:v>
      </x:c>
    </x:row>
    <x:row r="264">
      <x:c r="A264" s="23" t="str">
        <x:v>pqn</x:v>
      </x:c>
      <x:c r="B264" s="23" t="str">
        <x:v>cnmr</x:v>
      </x:c>
      <x:c r="C264" s="23" t="str">
        <x:v>ttn</x:v>
      </x:c>
      <x:c r="D264" s="23" t="n">
        <x:v>41</x:v>
      </x:c>
      <x:c r="E264" s="23" t="n">
        <x:v>600</x:v>
      </x:c>
      <x:c r="F264" s="23"/>
      <x:c r="G264" s="23"/>
      <x:c r="H264" s="23"/>
      <x:c r="I264" s="24" t="n">
        <x:v>0.7175481274431508</x:v>
      </x:c>
      <x:c r="J264" s="24" t="n">
        <x:v>0.33574872261700633</x:v>
      </x:c>
      <x:c r="K264" s="24" t="n">
        <x:v>0.5266484250300786</x:v>
      </x:c>
      <x:c r="L264" s="24" t="n">
        <x:v>0.33133</x:v>
      </x:c>
      <x:c r="M264" s="24" t="n">
        <x:v>0.7178995305398725</x:v>
      </x:c>
      <x:c r="N264" s="24" t="n">
        <x:v>0.3336041806553744</x:v>
      </x:c>
      <x:c r="O264" s="24" t="n">
        <x:v>0.5257518555976235</x:v>
      </x:c>
      <x:c r="P264" s="24" t="n">
        <x:v>0.331604</x:v>
      </x:c>
      <x:c r="Q264" s="24"/>
      <x:c r="R264" s="24"/>
      <x:c r="S264" s="24" t="n">
        <x:v>0.716193</x:v>
      </x:c>
      <x:c r="T264" s="24"/>
      <x:c r="U264" s="24" t="n">
        <x:v>0.719614</x:v>
      </x:c>
      <x:c r="V264" s="24"/>
      <x:c r="W264" s="23" t="n">
        <x:v>52</x:v>
      </x:c>
      <x:c r="X264" s="23" t="n">
        <x:v>72</x:v>
      </x:c>
      <x:c r="Y264" s="25" t="n">
        <x:v>22.654833333333332</x:v>
      </x:c>
      <x:c r="Z264" s="23" t="str">
        <x:v>benchmark/preprocessing_training/dim_600/pqn/cnmr/seed_41/ttn/metrics.json</x:v>
      </x:c>
    </x:row>
    <x:row r="265">
      <x:c r="A265" s="23" t="str">
        <x:v>pqn</x:v>
      </x:c>
      <x:c r="B265" s="23" t="str">
        <x:v>cnmr</x:v>
      </x:c>
      <x:c r="C265" s="23" t="str">
        <x:v>xgboost</x:v>
      </x:c>
      <x:c r="D265" s="23" t="n">
        <x:v>41</x:v>
      </x:c>
      <x:c r="E265" s="23" t="n">
        <x:v>600</x:v>
      </x:c>
      <x:c r="F265" s="23" t="n">
        <x:v>635496</x:v>
      </x:c>
      <x:c r="G265" s="23" t="n">
        <x:v>79450</x:v>
      </x:c>
      <x:c r="H265" s="23" t="n">
        <x:v>79457</x:v>
      </x:c>
      <x:c r="I265" s="24" t="n">
        <x:v>0.7800492963717753</x:v>
      </x:c>
      <x:c r="J265" s="24" t="n">
        <x:v>0.38084159595804873</x:v>
      </x:c>
      <x:c r="K265" s="24" t="n">
        <x:v>0.580445446164912</x:v>
      </x:c>
      <x:c r="L265" s="24"/>
      <x:c r="M265" s="24" t="n">
        <x:v>0.7802528034050117</x:v>
      </x:c>
      <x:c r="N265" s="24" t="n">
        <x:v>0.37376878156668547</x:v>
      </x:c>
      <x:c r="O265" s="24" t="n">
        <x:v>0.5770107924858485</x:v>
      </x:c>
      <x:c r="P265" s="24"/>
      <x:c r="Q265" s="24"/>
      <x:c r="R265" s="24"/>
      <x:c r="S265" s="24"/>
      <x:c r="T265" s="24"/>
      <x:c r="U265" s="24"/>
      <x:c r="V265" s="24"/>
      <x:c r="W265" s="23"/>
      <x:c r="X265" s="23"/>
      <x:c r="Y265" s="25" t="n">
        <x:v>6.834933890600223</x:v>
      </x:c>
      <x:c r="Z265" s="23" t="str">
        <x:v>benchmark/preprocessing_training/dim_600/pqn/cnmr/seed_41/xgboost/cnmr/original/metrics.json</x:v>
      </x:c>
    </x:row>
    <x:row r="266">
      <x:c r="A266" s="23" t="str">
        <x:v>pqn</x:v>
      </x:c>
      <x:c r="B266" s="23" t="str">
        <x:v>hnmr</x:v>
      </x:c>
      <x:c r="C266" s="23" t="str">
        <x:v>cnn</x:v>
      </x:c>
      <x:c r="D266" s="23" t="n">
        <x:v>41</x:v>
      </x:c>
      <x:c r="E266" s="23" t="n">
        <x:v>600</x:v>
      </x:c>
      <x:c r="F266" s="23" t="n">
        <x:v>635496</x:v>
      </x:c>
      <x:c r="G266" s="23" t="n">
        <x:v>79450</x:v>
      </x:c>
      <x:c r="H266" s="23" t="n">
        <x:v>79457</x:v>
      </x:c>
      <x:c r="I266" s="24" t="n">
        <x:v>0.6187339056070705</x:v>
      </x:c>
      <x:c r="J266" s="24" t="n">
        <x:v>0.11187078260560608</x:v>
      </x:c>
      <x:c r="K266" s="24" t="n">
        <x:v>0.36530234410633833</x:v>
      </x:c>
      <x:c r="L266" s="24" t="n">
        <x:v>0.21208174526691437</x:v>
      </x:c>
      <x:c r="M266" s="24" t="n">
        <x:v>0.6186523859457689</x:v>
      </x:c>
      <x:c r="N266" s="24" t="n">
        <x:v>0.11154553702455287</x:v>
      </x:c>
      <x:c r="O266" s="24" t="n">
        <x:v>0.36509896148516086</x:v>
      </x:c>
      <x:c r="P266" s="24"/>
      <x:c r="Q266" s="24"/>
      <x:c r="R266" s="24"/>
      <x:c r="S266" s="24"/>
      <x:c r="T266" s="24"/>
      <x:c r="U266" s="24"/>
      <x:c r="V266" s="24"/>
      <x:c r="W266" s="23" t="n">
        <x:v>1</x:v>
      </x:c>
      <x:c r="X266" s="23" t="n">
        <x:v>21</x:v>
      </x:c>
      <x:c r="Y266" s="25" t="n">
        <x:v>17.69338041843342</x:v>
      </x:c>
      <x:c r="Z266" s="23" t="str">
        <x:v>benchmark/preprocessing_training/dim_600/pqn/hnmr/seed_41/cnn/hnmr/original/metrics.json</x:v>
      </x:c>
    </x:row>
    <x:row r="267">
      <x:c r="A267" s="23" t="str">
        <x:v>pqn</x:v>
      </x:c>
      <x:c r="B267" s="23" t="str">
        <x:v>hnmr</x:v>
      </x:c>
      <x:c r="C267" s="23" t="str">
        <x:v>mps</x:v>
      </x:c>
      <x:c r="D267" s="23" t="n">
        <x:v>41</x:v>
      </x:c>
      <x:c r="E267" s="23" t="n">
        <x:v>600</x:v>
      </x:c>
      <x:c r="F267" s="23"/>
      <x:c r="G267" s="23"/>
      <x:c r="H267" s="23"/>
      <x:c r="I267" s="24" t="n">
        <x:v>0.6978</x:v>
      </x:c>
      <x:c r="J267" s="24" t="n">
        <x:v>0.3739</x:v>
      </x:c>
      <x:c r="K267" s="24" t="n">
        <x:v>0.5358499999999999</x:v>
      </x:c>
      <x:c r="L267" s="24" t="n">
        <x:v>10.2353</x:v>
      </x:c>
      <x:c r="M267" s="24" t="n">
        <x:v>0.6970344812441305</x:v>
      </x:c>
      <x:c r="N267" s="24" t="n">
        <x:v>0.36297856750825197</x:v>
      </x:c>
      <x:c r="O267" s="24" t="n">
        <x:v>0.5300065243761912</x:v>
      </x:c>
      <x:c r="P267" s="24" t="n">
        <x:v>10.0076</x:v>
      </x:c>
      <x:c r="Q267" s="24" t="n">
        <x:v>0.0731</x:v>
      </x:c>
      <x:c r="R267" s="24" t="n">
        <x:v>0.7053</x:v>
      </x:c>
      <x:c r="S267" s="24" t="n">
        <x:v>0.6839</x:v>
      </x:c>
      <x:c r="T267" s="24" t="n">
        <x:v>0.3835</x:v>
      </x:c>
      <x:c r="U267" s="24" t="n">
        <x:v>0.7107</x:v>
      </x:c>
      <x:c r="V267" s="24" t="n">
        <x:v>0.3554</x:v>
      </x:c>
      <x:c r="W267" s="23" t="n">
        <x:v>160</x:v>
      </x:c>
      <x:c r="X267" s="23" t="n">
        <x:v>170</x:v>
      </x:c>
      <x:c r="Y267" s="25" t="n">
        <x:v>198</x:v>
      </x:c>
      <x:c r="Z267" s="23" t="str">
        <x:v>benchmark/preprocessing_training/dim_600/pqn/hnmr/seed_41/mps/results/metrics.json</x:v>
      </x:c>
    </x:row>
    <x:row r="268">
      <x:c r="A268" s="23" t="str">
        <x:v>pqn</x:v>
      </x:c>
      <x:c r="B268" s="23" t="str">
        <x:v>hnmr</x:v>
      </x:c>
      <x:c r="C268" s="23" t="str">
        <x:v>ttn</x:v>
      </x:c>
      <x:c r="D268" s="23" t="n">
        <x:v>41</x:v>
      </x:c>
      <x:c r="E268" s="23" t="n">
        <x:v>600</x:v>
      </x:c>
      <x:c r="F268" s="23"/>
      <x:c r="G268" s="23"/>
      <x:c r="H268" s="23"/>
      <x:c r="I268" s="24" t="n">
        <x:v>0.6882461885333906</x:v>
      </x:c>
      <x:c r="J268" s="24" t="n">
        <x:v>0.3049444274378469</x:v>
      </x:c>
      <x:c r="K268" s="24" t="n">
        <x:v>0.49659530798561874</x:v>
      </x:c>
      <x:c r="L268" s="24" t="n">
        <x:v>0.370597</x:v>
      </x:c>
      <x:c r="M268" s="24" t="n">
        <x:v>0.6882549128074029</x:v>
      </x:c>
      <x:c r="N268" s="24" t="n">
        <x:v>0.2996349021931773</x:v>
      </x:c>
      <x:c r="O268" s="24" t="n">
        <x:v>0.4939449075002901</x:v>
      </x:c>
      <x:c r="P268" s="24" t="n">
        <x:v>0.372346</x:v>
      </x:c>
      <x:c r="Q268" s="24"/>
      <x:c r="R268" s="24"/>
      <x:c r="S268" s="24" t="n">
        <x:v>0.701907</x:v>
      </x:c>
      <x:c r="T268" s="24"/>
      <x:c r="U268" s="24" t="n">
        <x:v>0.675124</x:v>
      </x:c>
      <x:c r="V268" s="24"/>
      <x:c r="W268" s="23" t="n">
        <x:v>55</x:v>
      </x:c>
      <x:c r="X268" s="23" t="n">
        <x:v>75</x:v>
      </x:c>
      <x:c r="Y268" s="25" t="n">
        <x:v>23.764333333333333</x:v>
      </x:c>
      <x:c r="Z268" s="23" t="str">
        <x:v>benchmark/preprocessing_training/dim_600/pqn/hnmr/seed_41/ttn/metrics.json</x:v>
      </x:c>
    </x:row>
    <x:row r="269">
      <x:c r="A269" s="23" t="str">
        <x:v>pqn</x:v>
      </x:c>
      <x:c r="B269" s="23" t="str">
        <x:v>hnmr</x:v>
      </x:c>
      <x:c r="C269" s="23" t="str">
        <x:v>xgboost</x:v>
      </x:c>
      <x:c r="D269" s="23" t="n">
        <x:v>41</x:v>
      </x:c>
      <x:c r="E269" s="23" t="n">
        <x:v>600</x:v>
      </x:c>
      <x:c r="F269" s="23" t="n">
        <x:v>635496</x:v>
      </x:c>
      <x:c r="G269" s="23" t="n">
        <x:v>79450</x:v>
      </x:c>
      <x:c r="H269" s="23" t="n">
        <x:v>79457</x:v>
      </x:c>
      <x:c r="I269" s="24" t="n">
        <x:v>0.749588828175361</x:v>
      </x:c>
      <x:c r="J269" s="24" t="n">
        <x:v>0.329396357618915</x:v>
      </x:c>
      <x:c r="K269" s="24" t="n">
        <x:v>0.539492592897138</x:v>
      </x:c>
      <x:c r="L269" s="24"/>
      <x:c r="M269" s="24" t="n">
        <x:v>0.7503345308130003</x:v>
      </x:c>
      <x:c r="N269" s="24" t="n">
        <x:v>0.3175418071228922</x:v>
      </x:c>
      <x:c r="O269" s="24" t="n">
        <x:v>0.5339381689679462</x:v>
      </x:c>
      <x:c r="P269" s="24"/>
      <x:c r="Q269" s="24"/>
      <x:c r="R269" s="24"/>
      <x:c r="S269" s="24"/>
      <x:c r="T269" s="24"/>
      <x:c r="U269" s="24"/>
      <x:c r="V269" s="24"/>
      <x:c r="W269" s="23"/>
      <x:c r="X269" s="23"/>
      <x:c r="Y269" s="25" t="n">
        <x:v>6.192238718932883</x:v>
      </x:c>
      <x:c r="Z269" s="23" t="str">
        <x:v>benchmark/preprocessing_training/dim_600/pqn/hnmr/seed_41/xgboost/hnmr/original/metrics.json</x:v>
      </x:c>
    </x:row>
    <x:row r="270">
      <x:c r="A270" s="23" t="str">
        <x:v>pqn</x:v>
      </x:c>
      <x:c r="B270" s="23" t="str">
        <x:v>ir</x:v>
      </x:c>
      <x:c r="C270" s="23" t="str">
        <x:v>cnn</x:v>
      </x:c>
      <x:c r="D270" s="23" t="n">
        <x:v>41</x:v>
      </x:c>
      <x:c r="E270" s="23" t="n">
        <x:v>600</x:v>
      </x:c>
      <x:c r="F270" s="23" t="n">
        <x:v>635496</x:v>
      </x:c>
      <x:c r="G270" s="23" t="n">
        <x:v>79450</x:v>
      </x:c>
      <x:c r="H270" s="23" t="n">
        <x:v>79457</x:v>
      </x:c>
      <x:c r="I270" s="24" t="n">
        <x:v>0.7110378426918103</x:v>
      </x:c>
      <x:c r="J270" s="24" t="n">
        <x:v>0.3189043749416787</x:v>
      </x:c>
      <x:c r="K270" s="24" t="n">
        <x:v>0.5149711088167445</x:v>
      </x:c>
      <x:c r="L270" s="24" t="n">
        <x:v>0.18292392790317535</x:v>
      </x:c>
      <x:c r="M270" s="24" t="n">
        <x:v>0.7101921970955275</x:v>
      </x:c>
      <x:c r="N270" s="24" t="n">
        <x:v>0.317604793107728</x:v>
      </x:c>
      <x:c r="O270" s="24" t="n">
        <x:v>0.5138984951016278</x:v>
      </x:c>
      <x:c r="P270" s="24"/>
      <x:c r="Q270" s="24"/>
      <x:c r="R270" s="24"/>
      <x:c r="S270" s="24"/>
      <x:c r="T270" s="24"/>
      <x:c r="U270" s="24"/>
      <x:c r="V270" s="24"/>
      <x:c r="W270" s="23" t="n">
        <x:v>17</x:v>
      </x:c>
      <x:c r="X270" s="23" t="n">
        <x:v>37</x:v>
      </x:c>
      <x:c r="Y270" s="25" t="n">
        <x:v>29.72167558966612</x:v>
      </x:c>
      <x:c r="Z270" s="23" t="str">
        <x:v>benchmark/preprocessing_training/dim_600/pqn/ir/seed_41/cnn/ir/original/metrics.json</x:v>
      </x:c>
    </x:row>
    <x:row r="271">
      <x:c r="A271" s="23" t="str">
        <x:v>pqn</x:v>
      </x:c>
      <x:c r="B271" s="23" t="str">
        <x:v>ir</x:v>
      </x:c>
      <x:c r="C271" s="23" t="str">
        <x:v>mps</x:v>
      </x:c>
      <x:c r="D271" s="23" t="n">
        <x:v>41</x:v>
      </x:c>
      <x:c r="E271" s="23" t="n">
        <x:v>600</x:v>
      </x:c>
      <x:c r="F271" s="23"/>
      <x:c r="G271" s="23"/>
      <x:c r="H271" s="23"/>
      <x:c r="I271" s="24" t="n">
        <x:v>0.831</x:v>
      </x:c>
      <x:c r="J271" s="24" t="n">
        <x:v>0.6864</x:v>
      </x:c>
      <x:c r="K271" s="24" t="n">
        <x:v>0.7586999999999999</x:v>
      </x:c>
      <x:c r="L271" s="24" t="n">
        <x:v>3.6432</x:v>
      </x:c>
      <x:c r="M271" s="24" t="n">
        <x:v>0.8315460280411529</x:v>
      </x:c>
      <x:c r="N271" s="24" t="n">
        <x:v>0.6607331809058292</x:v>
      </x:c>
      <x:c r="O271" s="24" t="n">
        <x:v>0.746139604473491</x:v>
      </x:c>
      <x:c r="P271" s="24" t="n">
        <x:v>3.5576</x:v>
      </x:c>
      <x:c r="Q271" s="24" t="n">
        <x:v>0.228</x:v>
      </x:c>
      <x:c r="R271" s="24" t="n">
        <x:v>0.8334</x:v>
      </x:c>
      <x:c r="S271" s="24" t="n">
        <x:v>0.8493</x:v>
      </x:c>
      <x:c r="T271" s="24" t="n">
        <x:v>0.7017</x:v>
      </x:c>
      <x:c r="U271" s="24" t="n">
        <x:v>0.8146</x:v>
      </x:c>
      <x:c r="V271" s="24" t="n">
        <x:v>0.6402</x:v>
      </x:c>
      <x:c r="W271" s="23" t="n">
        <x:v>150</x:v>
      </x:c>
      <x:c r="X271" s="23" t="n">
        <x:v>155</x:v>
      </x:c>
      <x:c r="Y271" s="25" t="n">
        <x:v>180.3</x:v>
      </x:c>
      <x:c r="Z271" s="23" t="str">
        <x:v>benchmark/preprocessing_training/dim_600/pqn/ir/seed_41/mps/results/metrics.json</x:v>
      </x:c>
    </x:row>
    <x:row r="272">
      <x:c r="A272" s="23" t="str">
        <x:v>pqn</x:v>
      </x:c>
      <x:c r="B272" s="23" t="str">
        <x:v>ir</x:v>
      </x:c>
      <x:c r="C272" s="23" t="str">
        <x:v>ttn</x:v>
      </x:c>
      <x:c r="D272" s="23" t="n">
        <x:v>41</x:v>
      </x:c>
      <x:c r="E272" s="23" t="n">
        <x:v>600</x:v>
      </x:c>
      <x:c r="F272" s="23"/>
      <x:c r="G272" s="23"/>
      <x:c r="H272" s="23"/>
      <x:c r="I272" s="24" t="n">
        <x:v>0.8311213496389003</x:v>
      </x:c>
      <x:c r="J272" s="24" t="n">
        <x:v>0.6019457601033404</x:v>
      </x:c>
      <x:c r="K272" s="24" t="n">
        <x:v>0.7165335548711204</x:v>
      </x:c>
      <x:c r="L272" s="24" t="n">
        <x:v>0.225863</x:v>
      </x:c>
      <x:c r="M272" s="24" t="n">
        <x:v>0.8310670077581332</x:v>
      </x:c>
      <x:c r="N272" s="24" t="n">
        <x:v>0.6011564231591082</x:v>
      </x:c>
      <x:c r="O272" s="24" t="n">
        <x:v>0.7161117154586207</x:v>
      </x:c>
      <x:c r="P272" s="24" t="n">
        <x:v>0.223569</x:v>
      </x:c>
      <x:c r="Q272" s="24"/>
      <x:c r="R272" s="24"/>
      <x:c r="S272" s="24" t="n">
        <x:v>0.824069</x:v>
      </x:c>
      <x:c r="T272" s="24"/>
      <x:c r="U272" s="24" t="n">
        <x:v>0.838185</x:v>
      </x:c>
      <x:c r="V272" s="24"/>
      <x:c r="W272" s="23" t="n">
        <x:v>64</x:v>
      </x:c>
      <x:c r="X272" s="23" t="n">
        <x:v>84</x:v>
      </x:c>
      <x:c r="Y272" s="25" t="n">
        <x:v>27.079666666666665</x:v>
      </x:c>
      <x:c r="Z272" s="23" t="str">
        <x:v>benchmark/preprocessing_training/dim_600/pqn/ir/seed_41/ttn/metrics.json</x:v>
      </x:c>
    </x:row>
    <x:row r="273">
      <x:c r="A273" s="23" t="str">
        <x:v>pqn</x:v>
      </x:c>
      <x:c r="B273" s="23" t="str">
        <x:v>ir</x:v>
      </x:c>
      <x:c r="C273" s="23" t="str">
        <x:v>xgboost</x:v>
      </x:c>
      <x:c r="D273" s="23" t="n">
        <x:v>41</x:v>
      </x:c>
      <x:c r="E273" s="23" t="n">
        <x:v>600</x:v>
      </x:c>
      <x:c r="F273" s="23" t="n">
        <x:v>635496</x:v>
      </x:c>
      <x:c r="G273" s="23" t="n">
        <x:v>79450</x:v>
      </x:c>
      <x:c r="H273" s="23" t="n">
        <x:v>79457</x:v>
      </x:c>
      <x:c r="I273" s="24" t="n">
        <x:v>0.8388666505300596</x:v>
      </x:c>
      <x:c r="J273" s="24" t="n">
        <x:v>0.55307805357115</x:v>
      </x:c>
      <x:c r="K273" s="24" t="n">
        <x:v>0.6959723520506048</x:v>
      </x:c>
      <x:c r="L273" s="24"/>
      <x:c r="M273" s="24" t="n">
        <x:v>0.8398456363720348</x:v>
      </x:c>
      <x:c r="N273" s="24" t="n">
        <x:v>0.5478583163170041</x:v>
      </x:c>
      <x:c r="O273" s="24" t="n">
        <x:v>0.6938519763445194</x:v>
      </x:c>
      <x:c r="P273" s="24"/>
      <x:c r="Q273" s="24"/>
      <x:c r="R273" s="24"/>
      <x:c r="S273" s="24"/>
      <x:c r="T273" s="24"/>
      <x:c r="U273" s="24"/>
      <x:c r="V273" s="24"/>
      <x:c r="W273" s="23"/>
      <x:c r="X273" s="23"/>
      <x:c r="Y273" s="25" t="n">
        <x:v>6.728929144583526</x:v>
      </x:c>
      <x:c r="Z273" s="23" t="str">
        <x:v>benchmark/preprocessing_training/dim_600/pqn/ir/seed_41/xgboost/ir/original/metrics.json</x:v>
      </x:c>
    </x:row>
    <x:row r="274">
      <x:c r="A274" s="23" t="str">
        <x:v>pqn</x:v>
      </x:c>
      <x:c r="B274" s="23" t="str">
        <x:v>msms_neg</x:v>
      </x:c>
      <x:c r="C274" s="23" t="str">
        <x:v>cnn</x:v>
      </x:c>
      <x:c r="D274" s="23" t="n">
        <x:v>41</x:v>
      </x:c>
      <x:c r="E274" s="23" t="n">
        <x:v>600</x:v>
      </x:c>
      <x:c r="F274" s="23" t="n">
        <x:v>635496</x:v>
      </x:c>
      <x:c r="G274" s="23" t="n">
        <x:v>79450</x:v>
      </x:c>
      <x:c r="H274" s="23" t="n">
        <x:v>79457</x:v>
      </x:c>
      <x:c r="I274" s="24" t="n">
        <x:v>0.6263986339548081</x:v>
      </x:c>
      <x:c r="J274" s="24" t="n">
        <x:v>0.10379413064655575</x:v>
      </x:c>
      <x:c r="K274" s="24" t="n">
        <x:v>0.3650963823006819</x:v>
      </x:c>
      <x:c r="L274" s="24" t="n">
        <x:v>0.22088949382305145</x:v>
      </x:c>
      <x:c r="M274" s="24" t="n">
        <x:v>0.626968514805566</x:v>
      </x:c>
      <x:c r="N274" s="24" t="n">
        <x:v>0.10424834024564086</x:v>
      </x:c>
      <x:c r="O274" s="24" t="n">
        <x:v>0.36560842752560346</x:v>
      </x:c>
      <x:c r="P274" s="24"/>
      <x:c r="Q274" s="24"/>
      <x:c r="R274" s="24"/>
      <x:c r="S274" s="24"/>
      <x:c r="T274" s="24"/>
      <x:c r="U274" s="24"/>
      <x:c r="V274" s="24"/>
      <x:c r="W274" s="23" t="n">
        <x:v>2</x:v>
      </x:c>
      <x:c r="X274" s="23" t="n">
        <x:v>30</x:v>
      </x:c>
      <x:c r="Y274" s="25" t="n">
        <x:v>24.899262985183547</x:v>
      </x:c>
      <x:c r="Z274" s="23" t="str">
        <x:v>benchmark/preprocessing_training/dim_600/pqn/msms_neg/seed_41/cnn/neg_msms/original/metrics.json</x:v>
      </x:c>
    </x:row>
    <x:row r="275">
      <x:c r="A275" s="23" t="str">
        <x:v>pqn</x:v>
      </x:c>
      <x:c r="B275" s="23" t="str">
        <x:v>msms_neg</x:v>
      </x:c>
      <x:c r="C275" s="23" t="str">
        <x:v>mps</x:v>
      </x:c>
      <x:c r="D275" s="23" t="n">
        <x:v>41</x:v>
      </x:c>
      <x:c r="E275" s="23" t="n">
        <x:v>600</x:v>
      </x:c>
      <x:c r="F275" s="23"/>
      <x:c r="G275" s="23"/>
      <x:c r="H275" s="23"/>
      <x:c r="I275" s="24" t="n">
        <x:v>0.2819</x:v>
      </x:c>
      <x:c r="J275" s="24" t="n">
        <x:v>0.1736</x:v>
      </x:c>
      <x:c r="K275" s="24" t="n">
        <x:v>0.22775</x:v>
      </x:c>
      <x:c r="L275" s="24" t="n">
        <x:v>1.2637</x:v>
      </x:c>
      <x:c r="M275" s="24" t="n">
        <x:v>0.28076227631442824</x:v>
      </x:c>
      <x:c r="N275" s="24" t="n">
        <x:v>0.1732058870490103</x:v>
      </x:c>
      <x:c r="O275" s="24" t="n">
        <x:v>0.22698408168171927</x:v>
      </x:c>
      <x:c r="P275" s="24" t="n">
        <x:v>1.49</x:v>
      </x:c>
      <x:c r="Q275" s="24" t="n">
        <x:v>0</x:v>
      </x:c>
      <x:c r="R275" s="24" t="n">
        <x:v>0.5384</x:v>
      </x:c>
      <x:c r="S275" s="24" t="n">
        <x:v>0.1864</x:v>
      </x:c>
      <x:c r="T275" s="24" t="n">
        <x:v>0.1574</x:v>
      </x:c>
      <x:c r="U275" s="24" t="n">
        <x:v>0.5683</x:v>
      </x:c>
      <x:c r="V275" s="24" t="n">
        <x:v>0.5598</x:v>
      </x:c>
      <x:c r="W275" s="23" t="n">
        <x:v>20</x:v>
      </x:c>
      <x:c r="X275" s="23" t="n">
        <x:v>40</x:v>
      </x:c>
      <x:c r="Y275" s="25" t="n">
        <x:v>47.6</x:v>
      </x:c>
      <x:c r="Z275" s="23" t="str">
        <x:v>benchmark/preprocessing_training/dim_600/pqn/msms_neg/seed_41/mps/results/metrics.json</x:v>
      </x:c>
    </x:row>
    <x:row r="276">
      <x:c r="A276" s="23" t="str">
        <x:v>pqn</x:v>
      </x:c>
      <x:c r="B276" s="23" t="str">
        <x:v>msms_neg</x:v>
      </x:c>
      <x:c r="C276" s="23" t="str">
        <x:v>ttn</x:v>
      </x:c>
      <x:c r="D276" s="23" t="n">
        <x:v>41</x:v>
      </x:c>
      <x:c r="E276" s="23" t="n">
        <x:v>600</x:v>
      </x:c>
      <x:c r="F276" s="23"/>
      <x:c r="G276" s="23"/>
      <x:c r="H276" s="23"/>
      <x:c r="I276" s="24" t="n">
        <x:v>0.6379560333338216</x:v>
      </x:c>
      <x:c r="J276" s="24" t="n">
        <x:v>0.1528222703127251</x:v>
      </x:c>
      <x:c r="K276" s="24" t="n">
        <x:v>0.39538915182327333</x:v>
      </x:c>
      <x:c r="L276" s="24" t="n">
        <x:v>0.40326</x:v>
      </x:c>
      <x:c r="M276" s="24" t="n">
        <x:v>0.6375085146745381</x:v>
      </x:c>
      <x:c r="N276" s="24" t="n">
        <x:v>0.15161729564741191</x:v>
      </x:c>
      <x:c r="O276" s="24" t="n">
        <x:v>0.394562905160975</x:v>
      </x:c>
      <x:c r="P276" s="24" t="n">
        <x:v>0.404335</x:v>
      </x:c>
      <x:c r="Q276" s="24"/>
      <x:c r="R276" s="24"/>
      <x:c r="S276" s="24" t="n">
        <x:v>0.71812</x:v>
      </x:c>
      <x:c r="T276" s="24"/>
      <x:c r="U276" s="24" t="n">
        <x:v>0.573169</x:v>
      </x:c>
      <x:c r="V276" s="24"/>
      <x:c r="W276" s="23" t="n">
        <x:v>82</x:v>
      </x:c>
      <x:c r="X276" s="23" t="n">
        <x:v>102</x:v>
      </x:c>
      <x:c r="Y276" s="25" t="n">
        <x:v>31.818499999999997</x:v>
      </x:c>
      <x:c r="Z276" s="23" t="str">
        <x:v>benchmark/preprocessing_training/dim_600/pqn/msms_neg/seed_41/ttn/metrics.json</x:v>
      </x:c>
    </x:row>
    <x:row r="277">
      <x:c r="A277" s="23" t="str">
        <x:v>pqn</x:v>
      </x:c>
      <x:c r="B277" s="23" t="str">
        <x:v>msms_neg</x:v>
      </x:c>
      <x:c r="C277" s="23" t="str">
        <x:v>xgboost</x:v>
      </x:c>
      <x:c r="D277" s="23" t="n">
        <x:v>41</x:v>
      </x:c>
      <x:c r="E277" s="23" t="n">
        <x:v>600</x:v>
      </x:c>
      <x:c r="F277" s="23" t="n">
        <x:v>635496</x:v>
      </x:c>
      <x:c r="G277" s="23" t="n">
        <x:v>79450</x:v>
      </x:c>
      <x:c r="H277" s="23" t="n">
        <x:v>79457</x:v>
      </x:c>
      <x:c r="I277" s="24" t="n">
        <x:v>0.6238150668192985</x:v>
      </x:c>
      <x:c r="J277" s="24" t="n">
        <x:v>0.10799787225462133</x:v>
      </x:c>
      <x:c r="K277" s="24" t="n">
        <x:v>0.36590646953695993</x:v>
      </x:c>
      <x:c r="L277" s="24"/>
      <x:c r="M277" s="24" t="n">
        <x:v>0.6236121522538551</x:v>
      </x:c>
      <x:c r="N277" s="24" t="n">
        <x:v>0.1078933402339535</x:v>
      </x:c>
      <x:c r="O277" s="24" t="n">
        <x:v>0.3657527462439043</x:v>
      </x:c>
      <x:c r="P277" s="24"/>
      <x:c r="Q277" s="24"/>
      <x:c r="R277" s="24"/>
      <x:c r="S277" s="24"/>
      <x:c r="T277" s="24"/>
      <x:c r="U277" s="24"/>
      <x:c r="V277" s="24"/>
      <x:c r="W277" s="23"/>
      <x:c r="X277" s="23"/>
      <x:c r="Y277" s="25" t="n">
        <x:v>2.7630989981165235</x:v>
      </x:c>
      <x:c r="Z277" s="23" t="str">
        <x:v>benchmark/preprocessing_training/dim_600/pqn/msms_neg/seed_41/xgboost/neg_msms/original/metrics.json</x:v>
      </x:c>
    </x:row>
    <x:row r="278">
      <x:c r="A278" s="23" t="str">
        <x:v>pqn</x:v>
      </x:c>
      <x:c r="B278" s="23" t="str">
        <x:v>msms_pos</x:v>
      </x:c>
      <x:c r="C278" s="23" t="str">
        <x:v>cnn</x:v>
      </x:c>
      <x:c r="D278" s="23" t="n">
        <x:v>41</x:v>
      </x:c>
      <x:c r="E278" s="23" t="n">
        <x:v>600</x:v>
      </x:c>
      <x:c r="F278" s="23" t="n">
        <x:v>635496</x:v>
      </x:c>
      <x:c r="G278" s="23" t="n">
        <x:v>79450</x:v>
      </x:c>
      <x:c r="H278" s="23" t="n">
        <x:v>79457</x:v>
      </x:c>
      <x:c r="I278" s="24" t="n">
        <x:v>0.6084749767856726</x:v>
      </x:c>
      <x:c r="J278" s="24" t="n">
        <x:v>0.09153645897008006</x:v>
      </x:c>
      <x:c r="K278" s="24" t="n">
        <x:v>0.3500057178778764</x:v>
      </x:c>
      <x:c r="L278" s="24" t="n">
        <x:v>0.22898198664188385</x:v>
      </x:c>
      <x:c r="M278" s="24" t="n">
        <x:v>0.6077199386508175</x:v>
      </x:c>
      <x:c r="N278" s="24" t="n">
        <x:v>0.09148594915223182</x:v>
      </x:c>
      <x:c r="O278" s="24" t="n">
        <x:v>0.3496029439015247</x:v>
      </x:c>
      <x:c r="P278" s="24"/>
      <x:c r="Q278" s="24"/>
      <x:c r="R278" s="24"/>
      <x:c r="S278" s="24"/>
      <x:c r="T278" s="24"/>
      <x:c r="U278" s="24"/>
      <x:c r="V278" s="24"/>
      <x:c r="W278" s="23" t="n">
        <x:v>3</x:v>
      </x:c>
      <x:c r="X278" s="23" t="n">
        <x:v>25</x:v>
      </x:c>
      <x:c r="Y278" s="25" t="n">
        <x:v>20.512117192217072</x:v>
      </x:c>
      <x:c r="Z278" s="23" t="str">
        <x:v>benchmark/preprocessing_training/dim_600/pqn/msms_pos/seed_41/cnn/pos_msms/original/metrics.json</x:v>
      </x:c>
    </x:row>
    <x:row r="279">
      <x:c r="A279" s="23" t="str">
        <x:v>pqn</x:v>
      </x:c>
      <x:c r="B279" s="23" t="str">
        <x:v>msms_pos</x:v>
      </x:c>
      <x:c r="C279" s="23" t="str">
        <x:v>mps</x:v>
      </x:c>
      <x:c r="D279" s="23" t="n">
        <x:v>41</x:v>
      </x:c>
      <x:c r="E279" s="23" t="n">
        <x:v>600</x:v>
      </x:c>
      <x:c r="F279" s="23"/>
      <x:c r="G279" s="23"/>
      <x:c r="H279" s="23"/>
      <x:c r="I279" s="24" t="n">
        <x:v>0.2938</x:v>
      </x:c>
      <x:c r="J279" s="24" t="n">
        <x:v>0.1727</x:v>
      </x:c>
      <x:c r="K279" s="24" t="n">
        <x:v>0.23325</x:v>
      </x:c>
      <x:c r="L279" s="24" t="n">
        <x:v>1.1971</x:v>
      </x:c>
      <x:c r="M279" s="24" t="n">
        <x:v>0.29246012989945935</x:v>
      </x:c>
      <x:c r="N279" s="24" t="n">
        <x:v>0.17230956906225153</x:v>
      </x:c>
      <x:c r="O279" s="24" t="n">
        <x:v>0.23238484948085544</x:v>
      </x:c>
      <x:c r="P279" s="24" t="n">
        <x:v>1.1944</x:v>
      </x:c>
      <x:c r="Q279" s="24" t="n">
        <x:v>0</x:v>
      </x:c>
      <x:c r="R279" s="24" t="n">
        <x:v>0.5541</x:v>
      </x:c>
      <x:c r="S279" s="24" t="n">
        <x:v>0.191</x:v>
      </x:c>
      <x:c r="T279" s="24" t="n">
        <x:v>0.15</x:v>
      </x:c>
      <x:c r="U279" s="24" t="n">
        <x:v>0.6242</x:v>
      </x:c>
      <x:c r="V279" s="24" t="n">
        <x:v>0.5473</x:v>
      </x:c>
      <x:c r="W279" s="23" t="n">
        <x:v>1</x:v>
      </x:c>
      <x:c r="X279" s="23" t="n">
        <x:v>21</x:v>
      </x:c>
      <x:c r="Y279" s="25" t="n">
        <x:v>25.2</x:v>
      </x:c>
      <x:c r="Z279" s="23" t="str">
        <x:v>benchmark/preprocessing_training/dim_600/pqn/msms_pos/seed_41/mps/results/metrics.json</x:v>
      </x:c>
    </x:row>
    <x:row r="280">
      <x:c r="A280" s="23" t="str">
        <x:v>pqn</x:v>
      </x:c>
      <x:c r="B280" s="23" t="str">
        <x:v>msms_pos</x:v>
      </x:c>
      <x:c r="C280" s="23" t="str">
        <x:v>ttn</x:v>
      </x:c>
      <x:c r="D280" s="23" t="n">
        <x:v>41</x:v>
      </x:c>
      <x:c r="E280" s="23" t="n">
        <x:v>600</x:v>
      </x:c>
      <x:c r="F280" s="23"/>
      <x:c r="G280" s="23"/>
      <x:c r="H280" s="23"/>
      <x:c r="I280" s="24" t="n">
        <x:v>0.6470852646203781</x:v>
      </x:c>
      <x:c r="J280" s="24" t="n">
        <x:v>0.14419628199698173</x:v>
      </x:c>
      <x:c r="K280" s="24" t="n">
        <x:v>0.3956407733086799</x:v>
      </x:c>
      <x:c r="L280" s="24" t="n">
        <x:v>0.399555</x:v>
      </x:c>
      <x:c r="M280" s="24" t="n">
        <x:v>0.6467457600871869</x:v>
      </x:c>
      <x:c r="N280" s="24" t="n">
        <x:v>0.1438049346358956</x:v>
      </x:c>
      <x:c r="O280" s="24" t="n">
        <x:v>0.39527534736154124</x:v>
      </x:c>
      <x:c r="P280" s="24" t="n">
        <x:v>0.399863</x:v>
      </x:c>
      <x:c r="Q280" s="24"/>
      <x:c r="R280" s="24"/>
      <x:c r="S280" s="24" t="n">
        <x:v>0.72605</x:v>
      </x:c>
      <x:c r="T280" s="24"/>
      <x:c r="U280" s="24" t="n">
        <x:v>0.58306</x:v>
      </x:c>
      <x:c r="V280" s="24"/>
      <x:c r="W280" s="23" t="n">
        <x:v>4</x:v>
      </x:c>
      <x:c r="X280" s="23" t="n">
        <x:v>53</x:v>
      </x:c>
      <x:c r="Y280" s="25" t="n">
        <x:v>16.563499999999998</x:v>
      </x:c>
      <x:c r="Z280" s="23" t="str">
        <x:v>benchmark/preprocessing_training/dim_600/pqn/msms_pos/seed_41/ttn/metrics.json</x:v>
      </x:c>
    </x:row>
    <x:row r="281">
      <x:c r="A281" s="23" t="str">
        <x:v>pqn</x:v>
      </x:c>
      <x:c r="B281" s="23" t="str">
        <x:v>msms_pos</x:v>
      </x:c>
      <x:c r="C281" s="23" t="str">
        <x:v>xgboost</x:v>
      </x:c>
      <x:c r="D281" s="23" t="n">
        <x:v>41</x:v>
      </x:c>
      <x:c r="E281" s="23" t="n">
        <x:v>600</x:v>
      </x:c>
      <x:c r="F281" s="23" t="n">
        <x:v>635496</x:v>
      </x:c>
      <x:c r="G281" s="23" t="n">
        <x:v>79450</x:v>
      </x:c>
      <x:c r="H281" s="23" t="n">
        <x:v>79457</x:v>
      </x:c>
      <x:c r="I281" s="24" t="n">
        <x:v>0.6318543788855142</x:v>
      </x:c>
      <x:c r="J281" s="24" t="n">
        <x:v>0.10161081434979118</x:v>
      </x:c>
      <x:c r="K281" s="24" t="n">
        <x:v>0.3667325966176527</x:v>
      </x:c>
      <x:c r="L281" s="24"/>
      <x:c r="M281" s="24" t="n">
        <x:v>0.6313028439661799</x:v>
      </x:c>
      <x:c r="N281" s="24" t="n">
        <x:v>0.1019293683429056</x:v>
      </x:c>
      <x:c r="O281" s="24" t="n">
        <x:v>0.3666161061545427</x:v>
      </x:c>
      <x:c r="P281" s="24"/>
      <x:c r="Q281" s="24"/>
      <x:c r="R281" s="24"/>
      <x:c r="S281" s="24"/>
      <x:c r="T281" s="24"/>
      <x:c r="U281" s="24"/>
      <x:c r="V281" s="24"/>
      <x:c r="W281" s="23"/>
      <x:c r="X281" s="23"/>
      <x:c r="Y281" s="25" t="n">
        <x:v>2.8399029412830714</x:v>
      </x:c>
      <x:c r="Z281" s="23" t="str">
        <x:v>benchmark/preprocessing_training/dim_600/pqn/msms_pos/seed_41/xgboost/pos_msms/original/metrics.json</x:v>
      </x:c>
    </x:row>
    <x:row r="282">
      <x:c r="A282" s="23" t="str">
        <x:v>quantile</x:v>
      </x:c>
      <x:c r="B282" s="23" t="str">
        <x:v>cnmr</x:v>
      </x:c>
      <x:c r="C282" s="23" t="str">
        <x:v>cnn</x:v>
      </x:c>
      <x:c r="D282" s="23" t="n">
        <x:v>41</x:v>
      </x:c>
      <x:c r="E282" s="23" t="n">
        <x:v>600</x:v>
      </x:c>
      <x:c r="F282" s="23" t="n">
        <x:v>635496</x:v>
      </x:c>
      <x:c r="G282" s="23" t="n">
        <x:v>79450</x:v>
      </x:c>
      <x:c r="H282" s="23" t="n">
        <x:v>79457</x:v>
      </x:c>
      <x:c r="I282" s="24" t="n">
        <x:v>0.33456265638031696</x:v>
      </x:c>
      <x:c r="J282" s="24" t="n">
        <x:v>0.027227116364007865</x:v>
      </x:c>
      <x:c r="K282" s="24" t="n">
        <x:v>0.18089488637216242</x:v>
      </x:c>
      <x:c r="L282" s="24" t="n">
        <x:v>2.265166759490967</x:v>
      </x:c>
      <x:c r="M282" s="24" t="n">
        <x:v>0.3346622889305816</x:v>
      </x:c>
      <x:c r="N282" s="24" t="n">
        <x:v>0.02727855557675235</x:v>
      </x:c>
      <x:c r="O282" s="24" t="n">
        <x:v>0.18097042225366697</x:v>
      </x:c>
      <x:c r="P282" s="24"/>
      <x:c r="Q282" s="24"/>
      <x:c r="R282" s="24"/>
      <x:c r="S282" s="24"/>
      <x:c r="T282" s="24"/>
      <x:c r="U282" s="24"/>
      <x:c r="V282" s="24"/>
      <x:c r="W282" s="23" t="n">
        <x:v>6</x:v>
      </x:c>
      <x:c r="X282" s="23" t="n">
        <x:v>22</x:v>
      </x:c>
      <x:c r="Y282" s="25" t="n">
        <x:v>17.813757024216464</x:v>
      </x:c>
      <x:c r="Z282" s="23" t="str">
        <x:v>benchmark/preprocessing_training/dim_600/quantile/cnmr/seed_41/cnn/cnmr/original/metrics.json</x:v>
      </x:c>
    </x:row>
    <x:row r="283">
      <x:c r="A283" s="23" t="str">
        <x:v>quantile</x:v>
      </x:c>
      <x:c r="B283" s="23" t="str">
        <x:v>cnmr</x:v>
      </x:c>
      <x:c r="C283" s="23" t="str">
        <x:v>mps</x:v>
      </x:c>
      <x:c r="D283" s="23" t="n">
        <x:v>41</x:v>
      </x:c>
      <x:c r="E283" s="23" t="n">
        <x:v>600</x:v>
      </x:c>
      <x:c r="F283" s="23"/>
      <x:c r="G283" s="23"/>
      <x:c r="H283" s="23"/>
      <x:c r="I283" s="24" t="n">
        <x:v>0.6298</x:v>
      </x:c>
      <x:c r="J283" s="24" t="n">
        <x:v>0.3237</x:v>
      </x:c>
      <x:c r="K283" s="24" t="n">
        <x:v>0.47675</x:v>
      </x:c>
      <x:c r="L283" s="24" t="n">
        <x:v>10.1925</x:v>
      </x:c>
      <x:c r="M283" s="24" t="n">
        <x:v>0.6304847109551748</x:v>
      </x:c>
      <x:c r="N283" s="24" t="n">
        <x:v>0.3218893477123318</x:v>
      </x:c>
      <x:c r="O283" s="24" t="n">
        <x:v>0.4761870293337533</x:v>
      </x:c>
      <x:c r="P283" s="24" t="n">
        <x:v>9.7502</x:v>
      </x:c>
      <x:c r="Q283" s="24" t="n">
        <x:v>0.0212</x:v>
      </x:c>
      <x:c r="R283" s="24" t="n">
        <x:v>0.6808</x:v>
      </x:c>
      <x:c r="S283" s="24" t="n">
        <x:v>0.5574</x:v>
      </x:c>
      <x:c r="T283" s="24" t="n">
        <x:v>0.2862</x:v>
      </x:c>
      <x:c r="U283" s="24" t="n">
        <x:v>0.7256</x:v>
      </x:c>
      <x:c r="V283" s="24" t="n">
        <x:v>0.3977</x:v>
      </x:c>
      <x:c r="W283" s="23" t="n">
        <x:v>132</x:v>
      </x:c>
      <x:c r="X283" s="23" t="n">
        <x:v>142</x:v>
      </x:c>
      <x:c r="Y283" s="25" t="n">
        <x:v>386.6</x:v>
      </x:c>
      <x:c r="Z283" s="23" t="str">
        <x:v>benchmark/preprocessing_training/dim_600/quantile/cnmr/seed_41/mps/results/metrics.json</x:v>
      </x:c>
    </x:row>
    <x:row r="284">
      <x:c r="A284" s="23" t="str">
        <x:v>quantile</x:v>
      </x:c>
      <x:c r="B284" s="23" t="str">
        <x:v>cnmr</x:v>
      </x:c>
      <x:c r="C284" s="23" t="str">
        <x:v>ttn</x:v>
      </x:c>
      <x:c r="D284" s="23" t="n">
        <x:v>41</x:v>
      </x:c>
      <x:c r="E284" s="23" t="n">
        <x:v>600</x:v>
      </x:c>
      <x:c r="F284" s="23"/>
      <x:c r="G284" s="23"/>
      <x:c r="H284" s="23"/>
      <x:c r="I284" s="24" t="n">
        <x:v>0.7163149699064505</x:v>
      </x:c>
      <x:c r="J284" s="24" t="n">
        <x:v>0.3329163854419714</x:v>
      </x:c>
      <x:c r="K284" s="24" t="n">
        <x:v>0.5246156776742109</x:v>
      </x:c>
      <x:c r="L284" s="24" t="n">
        <x:v>0.326955</x:v>
      </x:c>
      <x:c r="M284" s="24" t="n">
        <x:v>0.7171518847782485</x:v>
      </x:c>
      <x:c r="N284" s="24" t="n">
        <x:v>0.33027177404882013</x:v>
      </x:c>
      <x:c r="O284" s="24" t="n">
        <x:v>0.5237118294135343</x:v>
      </x:c>
      <x:c r="P284" s="24" t="n">
        <x:v>0.326882</x:v>
      </x:c>
      <x:c r="Q284" s="24"/>
      <x:c r="R284" s="24"/>
      <x:c r="S284" s="24" t="n">
        <x:v>0.718972</x:v>
      </x:c>
      <x:c r="T284" s="24"/>
      <x:c r="U284" s="24" t="n">
        <x:v>0.715341</x:v>
      </x:c>
      <x:c r="V284" s="24"/>
      <x:c r="W284" s="23" t="n">
        <x:v>37</x:v>
      </x:c>
      <x:c r="X284" s="23" t="n">
        <x:v>57</x:v>
      </x:c>
      <x:c r="Y284" s="25" t="n">
        <x:v>18.653333333333332</x:v>
      </x:c>
      <x:c r="Z284" s="23" t="str">
        <x:v>benchmark/preprocessing_training/dim_600/quantile/cnmr/seed_41/ttn/metrics.json</x:v>
      </x:c>
    </x:row>
    <x:row r="285">
      <x:c r="A285" s="23" t="str">
        <x:v>quantile</x:v>
      </x:c>
      <x:c r="B285" s="23" t="str">
        <x:v>cnmr</x:v>
      </x:c>
      <x:c r="C285" s="23" t="str">
        <x:v>xgboost</x:v>
      </x:c>
      <x:c r="D285" s="23" t="n">
        <x:v>41</x:v>
      </x:c>
      <x:c r="E285" s="23" t="n">
        <x:v>600</x:v>
      </x:c>
      <x:c r="F285" s="23" t="n">
        <x:v>635496</x:v>
      </x:c>
      <x:c r="G285" s="23" t="n">
        <x:v>79450</x:v>
      </x:c>
      <x:c r="H285" s="23" t="n">
        <x:v>79457</x:v>
      </x:c>
      <x:c r="I285" s="24" t="n">
        <x:v>0.7772824700514156</x:v>
      </x:c>
      <x:c r="J285" s="24" t="n">
        <x:v>0.3765480347389323</x:v>
      </x:c>
      <x:c r="K285" s="24" t="n">
        <x:v>0.5769152523951739</x:v>
      </x:c>
      <x:c r="L285" s="24"/>
      <x:c r="M285" s="24" t="n">
        <x:v>0.7773275212256847</x:v>
      </x:c>
      <x:c r="N285" s="24" t="n">
        <x:v>0.36596387604637903</x:v>
      </x:c>
      <x:c r="O285" s="24" t="n">
        <x:v>0.5716456986360319</x:v>
      </x:c>
      <x:c r="P285" s="24"/>
      <x:c r="Q285" s="24"/>
      <x:c r="R285" s="24"/>
      <x:c r="S285" s="24"/>
      <x:c r="T285" s="24"/>
      <x:c r="U285" s="24"/>
      <x:c r="V285" s="24"/>
      <x:c r="W285" s="23"/>
      <x:c r="X285" s="23"/>
      <x:c r="Y285" s="25" t="n">
        <x:v>4.755050927399619</x:v>
      </x:c>
      <x:c r="Z285" s="23" t="str">
        <x:v>benchmark/preprocessing_training/dim_600/quantile/cnmr/seed_41/xgboost/cnmr/original/metrics.json</x:v>
      </x:c>
    </x:row>
    <x:row r="286">
      <x:c r="A286" s="23" t="str">
        <x:v>quantile</x:v>
      </x:c>
      <x:c r="B286" s="23" t="str">
        <x:v>hnmr</x:v>
      </x:c>
      <x:c r="C286" s="23" t="str">
        <x:v>cnn</x:v>
      </x:c>
      <x:c r="D286" s="23" t="n">
        <x:v>41</x:v>
      </x:c>
      <x:c r="E286" s="23" t="n">
        <x:v>600</x:v>
      </x:c>
      <x:c r="F286" s="23" t="n">
        <x:v>635496</x:v>
      </x:c>
      <x:c r="G286" s="23" t="n">
        <x:v>79450</x:v>
      </x:c>
      <x:c r="H286" s="23" t="n">
        <x:v>79457</x:v>
      </x:c>
      <x:c r="I286" s="24" t="n">
        <x:v>0.4147380427665162</x:v>
      </x:c>
      <x:c r="J286" s="24" t="n">
        <x:v>0.05238265940163215</x:v>
      </x:c>
      <x:c r="K286" s="24" t="n">
        <x:v>0.2335603510840742</x:v>
      </x:c>
      <x:c r="L286" s="24" t="n">
        <x:v>1.7804076671600342</x:v>
      </x:c>
      <x:c r="M286" s="24" t="n">
        <x:v>0.41478946265750466</x:v>
      </x:c>
      <x:c r="N286" s="24" t="n">
        <x:v>0.0523667057323034</x:v>
      </x:c>
      <x:c r="O286" s="24" t="n">
        <x:v>0.23357808419490403</x:v>
      </x:c>
      <x:c r="P286" s="24"/>
      <x:c r="Q286" s="24"/>
      <x:c r="R286" s="24"/>
      <x:c r="S286" s="24"/>
      <x:c r="T286" s="24"/>
      <x:c r="U286" s="24"/>
      <x:c r="V286" s="24"/>
      <x:c r="W286" s="23" t="n">
        <x:v>16</x:v>
      </x:c>
      <x:c r="X286" s="23" t="n">
        <x:v>27</x:v>
      </x:c>
      <x:c r="Y286" s="25" t="n">
        <x:v>21.193469266316</x:v>
      </x:c>
      <x:c r="Z286" s="23" t="str">
        <x:v>benchmark/preprocessing_training/dim_600/quantile/hnmr/seed_41/cnn/hnmr/original/metrics.json</x:v>
      </x:c>
    </x:row>
    <x:row r="287">
      <x:c r="A287" s="23" t="str">
        <x:v>quantile</x:v>
      </x:c>
      <x:c r="B287" s="23" t="str">
        <x:v>hnmr</x:v>
      </x:c>
      <x:c r="C287" s="23" t="str">
        <x:v>mps</x:v>
      </x:c>
      <x:c r="D287" s="23" t="n">
        <x:v>41</x:v>
      </x:c>
      <x:c r="E287" s="23" t="n">
        <x:v>600</x:v>
      </x:c>
      <x:c r="F287" s="23"/>
      <x:c r="G287" s="23"/>
      <x:c r="H287" s="23"/>
      <x:c r="I287" s="24" t="n">
        <x:v>0.6904</x:v>
      </x:c>
      <x:c r="J287" s="24" t="n">
        <x:v>0.3657</x:v>
      </x:c>
      <x:c r="K287" s="24" t="n">
        <x:v>0.52805</x:v>
      </x:c>
      <x:c r="L287" s="24" t="n">
        <x:v>10.4938</x:v>
      </x:c>
      <x:c r="M287" s="24" t="n">
        <x:v>0.6898181486772874</x:v>
      </x:c>
      <x:c r="N287" s="24" t="n">
        <x:v>0.35512378274667517</x:v>
      </x:c>
      <x:c r="O287" s="24" t="n">
        <x:v>0.5224709657119813</x:v>
      </x:c>
      <x:c r="P287" s="24" t="n">
        <x:v>10.4043</x:v>
      </x:c>
      <x:c r="Q287" s="24" t="n">
        <x:v>0.0648</x:v>
      </x:c>
      <x:c r="R287" s="24" t="n">
        <x:v>0.7003</x:v>
      </x:c>
      <x:c r="S287" s="24" t="n">
        <x:v>0.6727</x:v>
      </x:c>
      <x:c r="T287" s="24" t="n">
        <x:v>0.3706</x:v>
      </x:c>
      <x:c r="U287" s="24" t="n">
        <x:v>0.7078</x:v>
      </x:c>
      <x:c r="V287" s="24" t="n">
        <x:v>0.3513</x:v>
      </x:c>
      <x:c r="W287" s="23" t="n">
        <x:v>175</x:v>
      </x:c>
      <x:c r="X287" s="23" t="n">
        <x:v>175</x:v>
      </x:c>
      <x:c r="Y287" s="25" t="n">
        <x:v>203.5</x:v>
      </x:c>
      <x:c r="Z287" s="23" t="str">
        <x:v>benchmark/preprocessing_training/dim_600/quantile/hnmr/seed_41/mps/results/metrics.json</x:v>
      </x:c>
    </x:row>
    <x:row r="288">
      <x:c r="A288" s="23" t="str">
        <x:v>quantile</x:v>
      </x:c>
      <x:c r="B288" s="23" t="str">
        <x:v>hnmr</x:v>
      </x:c>
      <x:c r="C288" s="23" t="str">
        <x:v>ttn</x:v>
      </x:c>
      <x:c r="D288" s="23" t="n">
        <x:v>41</x:v>
      </x:c>
      <x:c r="E288" s="23" t="n">
        <x:v>600</x:v>
      </x:c>
      <x:c r="F288" s="23"/>
      <x:c r="G288" s="23"/>
      <x:c r="H288" s="23"/>
      <x:c r="I288" s="24" t="n">
        <x:v>0.6836677058101518</x:v>
      </x:c>
      <x:c r="J288" s="24" t="n">
        <x:v>0.2912304520869813</x:v>
      </x:c>
      <x:c r="K288" s="24" t="n">
        <x:v>0.48744907894856654</x:v>
      </x:c>
      <x:c r="L288" s="24" t="n">
        <x:v>0.362663</x:v>
      </x:c>
      <x:c r="M288" s="24" t="n">
        <x:v>0.6839565528759327</x:v>
      </x:c>
      <x:c r="N288" s="24" t="n">
        <x:v>0.2867394840580124</x:v>
      </x:c>
      <x:c r="O288" s="24" t="n">
        <x:v>0.48534801846697256</x:v>
      </x:c>
      <x:c r="P288" s="24" t="n">
        <x:v>0.363906</x:v>
      </x:c>
      <x:c r="Q288" s="24"/>
      <x:c r="R288" s="24"/>
      <x:c r="S288" s="24" t="n">
        <x:v>0.706411</x:v>
      </x:c>
      <x:c r="T288" s="24"/>
      <x:c r="U288" s="24" t="n">
        <x:v>0.662886</x:v>
      </x:c>
      <x:c r="V288" s="24"/>
      <x:c r="W288" s="23" t="n">
        <x:v>55</x:v>
      </x:c>
      <x:c r="X288" s="23" t="n">
        <x:v>75</x:v>
      </x:c>
      <x:c r="Y288" s="25" t="n">
        <x:v>23.63266666666667</x:v>
      </x:c>
      <x:c r="Z288" s="23" t="str">
        <x:v>benchmark/preprocessing_training/dim_600/quantile/hnmr/seed_41/ttn/metrics.json</x:v>
      </x:c>
    </x:row>
    <x:row r="289">
      <x:c r="A289" s="23" t="str">
        <x:v>quantile</x:v>
      </x:c>
      <x:c r="B289" s="23" t="str">
        <x:v>hnmr</x:v>
      </x:c>
      <x:c r="C289" s="23" t="str">
        <x:v>xgboost</x:v>
      </x:c>
      <x:c r="D289" s="23" t="n">
        <x:v>41</x:v>
      </x:c>
      <x:c r="E289" s="23" t="n">
        <x:v>600</x:v>
      </x:c>
      <x:c r="F289" s="23" t="n">
        <x:v>635496</x:v>
      </x:c>
      <x:c r="G289" s="23" t="n">
        <x:v>79450</x:v>
      </x:c>
      <x:c r="H289" s="23" t="n">
        <x:v>79457</x:v>
      </x:c>
      <x:c r="I289" s="24" t="n">
        <x:v>0.7364703853154376</x:v>
      </x:c>
      <x:c r="J289" s="24" t="n">
        <x:v>0.29204010101099054</x:v>
      </x:c>
      <x:c r="K289" s="24" t="n">
        <x:v>0.5142552431632141</x:v>
      </x:c>
      <x:c r="L289" s="24"/>
      <x:c r="M289" s="24" t="n">
        <x:v>0.737067191283293</x:v>
      </x:c>
      <x:c r="N289" s="24" t="n">
        <x:v>0.2866580786364198</x:v>
      </x:c>
      <x:c r="O289" s="24" t="n">
        <x:v>0.5118626349598564</x:v>
      </x:c>
      <x:c r="P289" s="24"/>
      <x:c r="Q289" s="24"/>
      <x:c r="R289" s="24"/>
      <x:c r="S289" s="24"/>
      <x:c r="T289" s="24"/>
      <x:c r="U289" s="24"/>
      <x:c r="V289" s="24"/>
      <x:c r="W289" s="23"/>
      <x:c r="X289" s="23"/>
      <x:c r="Y289" s="25" t="n">
        <x:v>4.970999426783722</x:v>
      </x:c>
      <x:c r="Z289" s="23" t="str">
        <x:v>benchmark/preprocessing_training/dim_600/quantile/hnmr/seed_41/xgboost/hnmr/original/metrics.json</x:v>
      </x:c>
    </x:row>
    <x:row r="290">
      <x:c r="A290" s="23" t="str">
        <x:v>quantile</x:v>
      </x:c>
      <x:c r="B290" s="23" t="str">
        <x:v>ir</x:v>
      </x:c>
      <x:c r="C290" s="23" t="str">
        <x:v>cnn</x:v>
      </x:c>
      <x:c r="D290" s="23" t="n">
        <x:v>41</x:v>
      </x:c>
      <x:c r="E290" s="23" t="n">
        <x:v>600</x:v>
      </x:c>
      <x:c r="F290" s="23" t="n">
        <x:v>635496</x:v>
      </x:c>
      <x:c r="G290" s="23" t="n">
        <x:v>79450</x:v>
      </x:c>
      <x:c r="H290" s="23" t="n">
        <x:v>79457</x:v>
      </x:c>
      <x:c r="I290" s="24" t="n">
        <x:v>0.8840402857994766</x:v>
      </x:c>
      <x:c r="J290" s="24" t="n">
        <x:v>0.653039809359117</x:v>
      </x:c>
      <x:c r="K290" s="24" t="n">
        <x:v>0.7685400475792967</x:v>
      </x:c>
      <x:c r="L290" s="24" t="n">
        <x:v>0.07572433352470398</x:v>
      </x:c>
      <x:c r="M290" s="24" t="n">
        <x:v>0.8844040192653065</x:v>
      </x:c>
      <x:c r="N290" s="24" t="n">
        <x:v>0.6593685436310448</x:v>
      </x:c>
      <x:c r="O290" s="24" t="n">
        <x:v>0.7718862814481757</x:v>
      </x:c>
      <x:c r="P290" s="24"/>
      <x:c r="Q290" s="24"/>
      <x:c r="R290" s="24"/>
      <x:c r="S290" s="24"/>
      <x:c r="T290" s="24"/>
      <x:c r="U290" s="24"/>
      <x:c r="V290" s="24"/>
      <x:c r="W290" s="23" t="n">
        <x:v>41</x:v>
      </x:c>
      <x:c r="X290" s="23" t="n">
        <x:v>44</x:v>
      </x:c>
      <x:c r="Y290" s="25" t="n">
        <x:v>34.399995601733096</x:v>
      </x:c>
      <x:c r="Z290" s="23" t="str">
        <x:v>benchmark/preprocessing_training/dim_600/quantile/ir/seed_41/cnn/ir/original/metrics.json</x:v>
      </x:c>
    </x:row>
    <x:row r="291">
      <x:c r="A291" s="23" t="str">
        <x:v>quantile</x:v>
      </x:c>
      <x:c r="B291" s="23" t="str">
        <x:v>ir</x:v>
      </x:c>
      <x:c r="C291" s="23" t="str">
        <x:v>mps</x:v>
      </x:c>
      <x:c r="D291" s="23" t="n">
        <x:v>41</x:v>
      </x:c>
      <x:c r="E291" s="23" t="n">
        <x:v>600</x:v>
      </x:c>
      <x:c r="F291" s="23"/>
      <x:c r="G291" s="23"/>
      <x:c r="H291" s="23"/>
      <x:c r="I291" s="24" t="n">
        <x:v>0.8381</x:v>
      </x:c>
      <x:c r="J291" s="24" t="n">
        <x:v>0.6664</x:v>
      </x:c>
      <x:c r="K291" s="24" t="n">
        <x:v>0.75225</x:v>
      </x:c>
      <x:c r="L291" s="24" t="n">
        <x:v>4.2949</x:v>
      </x:c>
      <x:c r="M291" s="24" t="n">
        <x:v>0.8380041456994816</x:v>
      </x:c>
      <x:c r="N291" s="24" t="n">
        <x:v>0.669217277303929</x:v>
      </x:c>
      <x:c r="O291" s="24" t="n">
        <x:v>0.7536107115017052</x:v>
      </x:c>
      <x:c r="P291" s="24" t="n">
        <x:v>3.7698</x:v>
      </x:c>
      <x:c r="Q291" s="24" t="n">
        <x:v>0.244</x:v>
      </x:c>
      <x:c r="R291" s="24" t="n">
        <x:v>0.8371</x:v>
      </x:c>
      <x:c r="S291" s="24" t="n">
        <x:v>0.8645</x:v>
      </x:c>
      <x:c r="T291" s="24" t="n">
        <x:v>0.7359</x:v>
      </x:c>
      <x:c r="U291" s="24" t="n">
        <x:v>0.8131</x:v>
      </x:c>
      <x:c r="V291" s="24" t="n">
        <x:v>0.6348</x:v>
      </x:c>
      <x:c r="W291" s="23" t="n">
        <x:v>105</x:v>
      </x:c>
      <x:c r="X291" s="23" t="n">
        <x:v>115</x:v>
      </x:c>
      <x:c r="Y291" s="25" t="n">
        <x:v>133.6</x:v>
      </x:c>
      <x:c r="Z291" s="23" t="str">
        <x:v>benchmark/preprocessing_training/dim_600/quantile/ir/seed_41/mps/results/metrics.json</x:v>
      </x:c>
    </x:row>
    <x:row r="292">
      <x:c r="A292" s="23" t="str">
        <x:v>quantile</x:v>
      </x:c>
      <x:c r="B292" s="23" t="str">
        <x:v>ir</x:v>
      </x:c>
      <x:c r="C292" s="23" t="str">
        <x:v>ttn</x:v>
      </x:c>
      <x:c r="D292" s="23" t="n">
        <x:v>41</x:v>
      </x:c>
      <x:c r="E292" s="23" t="n">
        <x:v>600</x:v>
      </x:c>
      <x:c r="F292" s="23"/>
      <x:c r="G292" s="23"/>
      <x:c r="H292" s="23"/>
      <x:c r="I292" s="24" t="n">
        <x:v>0.8301901032822062</x:v>
      </x:c>
      <x:c r="J292" s="24" t="n">
        <x:v>0.5860111149745132</x:v>
      </x:c>
      <x:c r="K292" s="24" t="n">
        <x:v>0.7081006091283597</x:v>
      </x:c>
      <x:c r="L292" s="24" t="n">
        <x:v>0.194994</x:v>
      </x:c>
      <x:c r="M292" s="24" t="n">
        <x:v>0.8305228138861701</x:v>
      </x:c>
      <x:c r="N292" s="24" t="n">
        <x:v>0.5818468331897033</x:v>
      </x:c>
      <x:c r="O292" s="24" t="n">
        <x:v>0.7061848235379367</x:v>
      </x:c>
      <x:c r="P292" s="24" t="n">
        <x:v>0.194486</x:v>
      </x:c>
      <x:c r="Q292" s="24"/>
      <x:c r="R292" s="24"/>
      <x:c r="S292" s="24" t="n">
        <x:v>0.820875</x:v>
      </x:c>
      <x:c r="T292" s="24"/>
      <x:c r="U292" s="24" t="n">
        <x:v>0.8404</x:v>
      </x:c>
      <x:c r="V292" s="24"/>
      <x:c r="W292" s="23" t="n">
        <x:v>42</x:v>
      </x:c>
      <x:c r="X292" s="23" t="n">
        <x:v>62</x:v>
      </x:c>
      <x:c r="Y292" s="25" t="n">
        <x:v>19.634833333333333</x:v>
      </x:c>
      <x:c r="Z292" s="23" t="str">
        <x:v>benchmark/preprocessing_training/dim_600/quantile/ir/seed_41/ttn/metrics.json</x:v>
      </x:c>
    </x:row>
    <x:row r="293">
      <x:c r="A293" s="23" t="str">
        <x:v>quantile</x:v>
      </x:c>
      <x:c r="B293" s="23" t="str">
        <x:v>ir</x:v>
      </x:c>
      <x:c r="C293" s="23" t="str">
        <x:v>xgboost</x:v>
      </x:c>
      <x:c r="D293" s="23" t="n">
        <x:v>41</x:v>
      </x:c>
      <x:c r="E293" s="23" t="n">
        <x:v>600</x:v>
      </x:c>
      <x:c r="F293" s="23" t="n">
        <x:v>635496</x:v>
      </x:c>
      <x:c r="G293" s="23" t="n">
        <x:v>79450</x:v>
      </x:c>
      <x:c r="H293" s="23" t="n">
        <x:v>79457</x:v>
      </x:c>
      <x:c r="I293" s="24" t="n">
        <x:v>0.84012704912874</x:v>
      </x:c>
      <x:c r="J293" s="24" t="n">
        <x:v>0.5594794150955352</x:v>
      </x:c>
      <x:c r="K293" s="24" t="n">
        <x:v>0.6998032321121377</x:v>
      </x:c>
      <x:c r="L293" s="24"/>
      <x:c r="M293" s="24" t="n">
        <x:v>0.8410699322514266</x:v>
      </x:c>
      <x:c r="N293" s="24" t="n">
        <x:v>0.5524821592759321</x:v>
      </x:c>
      <x:c r="O293" s="24" t="n">
        <x:v>0.6967760457636794</x:v>
      </x:c>
      <x:c r="P293" s="24"/>
      <x:c r="Q293" s="24"/>
      <x:c r="R293" s="24"/>
      <x:c r="S293" s="24"/>
      <x:c r="T293" s="24"/>
      <x:c r="U293" s="24"/>
      <x:c r="V293" s="24"/>
      <x:c r="W293" s="23"/>
      <x:c r="X293" s="23"/>
      <x:c r="Y293" s="25" t="n">
        <x:v>5.9376601635992605</x:v>
      </x:c>
      <x:c r="Z293" s="23" t="str">
        <x:v>benchmark/preprocessing_training/dim_600/quantile/ir/seed_41/xgboost/ir/original/metrics.json</x:v>
      </x:c>
    </x:row>
    <x:row r="294">
      <x:c r="A294" s="23" t="str">
        <x:v>quantile</x:v>
      </x:c>
      <x:c r="B294" s="23" t="str">
        <x:v>msms_neg</x:v>
      </x:c>
      <x:c r="C294" s="23" t="str">
        <x:v>cnn</x:v>
      </x:c>
      <x:c r="D294" s="23" t="n">
        <x:v>41</x:v>
      </x:c>
      <x:c r="E294" s="23" t="n">
        <x:v>600</x:v>
      </x:c>
      <x:c r="F294" s="23" t="n">
        <x:v>635496</x:v>
      </x:c>
      <x:c r="G294" s="23" t="n">
        <x:v>79450</x:v>
      </x:c>
      <x:c r="H294" s="23" t="n">
        <x:v>79457</x:v>
      </x:c>
      <x:c r="I294" s="24" t="n">
        <x:v>0.6435302229372558</x:v>
      </x:c>
      <x:c r="J294" s="24" t="n">
        <x:v>0.11771803411121097</x:v>
      </x:c>
      <x:c r="K294" s="24" t="n">
        <x:v>0.3806241285242334</x:v>
      </x:c>
      <x:c r="L294" s="24" t="n">
        <x:v>0.20666609704494476</x:v>
      </x:c>
      <x:c r="M294" s="24" t="n">
        <x:v>0.6435875380065043</x:v>
      </x:c>
      <x:c r="N294" s="24" t="n">
        <x:v>0.1173719945408511</x:v>
      </x:c>
      <x:c r="O294" s="24" t="n">
        <x:v>0.3804797662736777</x:v>
      </x:c>
      <x:c r="P294" s="24"/>
      <x:c r="Q294" s="24"/>
      <x:c r="R294" s="24"/>
      <x:c r="S294" s="24"/>
      <x:c r="T294" s="24"/>
      <x:c r="U294" s="24"/>
      <x:c r="V294" s="24"/>
      <x:c r="W294" s="23" t="n">
        <x:v>24</x:v>
      </x:c>
      <x:c r="X294" s="23" t="n">
        <x:v>29</x:v>
      </x:c>
      <x:c r="Y294" s="25" t="n">
        <x:v>22.740579932016164</x:v>
      </x:c>
      <x:c r="Z294" s="23" t="str">
        <x:v>benchmark/preprocessing_training/dim_600/quantile/msms_neg/seed_41/cnn/neg_msms/original/metrics.json</x:v>
      </x:c>
    </x:row>
    <x:row r="295">
      <x:c r="A295" s="23" t="str">
        <x:v>quantile</x:v>
      </x:c>
      <x:c r="B295" s="23" t="str">
        <x:v>msms_neg</x:v>
      </x:c>
      <x:c r="C295" s="23" t="str">
        <x:v>mps</x:v>
      </x:c>
      <x:c r="D295" s="23" t="n">
        <x:v>41</x:v>
      </x:c>
      <x:c r="E295" s="23" t="n">
        <x:v>600</x:v>
      </x:c>
      <x:c r="F295" s="23"/>
      <x:c r="G295" s="23"/>
      <x:c r="H295" s="23"/>
      <x:c r="I295" s="24" t="n">
        <x:v>0.2867</x:v>
      </x:c>
      <x:c r="J295" s="24" t="n">
        <x:v>0.1681</x:v>
      </x:c>
      <x:c r="K295" s="24" t="n">
        <x:v>0.2274</x:v>
      </x:c>
      <x:c r="L295" s="24" t="n">
        <x:v>1.185</x:v>
      </x:c>
      <x:c r="M295" s="24" t="n">
        <x:v>0.286128662016956</x:v>
      </x:c>
      <x:c r="N295" s="24" t="n">
        <x:v>0.16799653212072335</x:v>
      </x:c>
      <x:c r="O295" s="24" t="n">
        <x:v>0.2270625970688397</x:v>
      </x:c>
      <x:c r="P295" s="24" t="n">
        <x:v>1.2041</x:v>
      </x:c>
      <x:c r="Q295" s="24" t="n">
        <x:v>0</x:v>
      </x:c>
      <x:c r="R295" s="24" t="n">
        <x:v>0.5325</x:v>
      </x:c>
      <x:c r="S295" s="24" t="n">
        <x:v>0.1921</x:v>
      </x:c>
      <x:c r="T295" s="24" t="n">
        <x:v>0.1538</x:v>
      </x:c>
      <x:c r="U295" s="24" t="n">
        <x:v>0.5605</x:v>
      </x:c>
      <x:c r="V295" s="24" t="n">
        <x:v>0.5118</x:v>
      </x:c>
      <x:c r="W295" s="23" t="n">
        <x:v>1</x:v>
      </x:c>
      <x:c r="X295" s="23" t="n">
        <x:v>21</x:v>
      </x:c>
      <x:c r="Y295" s="25" t="n">
        <x:v>25.2</x:v>
      </x:c>
      <x:c r="Z295" s="23" t="str">
        <x:v>benchmark/preprocessing_training/dim_600/quantile/msms_neg/seed_41/mps/results/metrics.json</x:v>
      </x:c>
    </x:row>
    <x:row r="296">
      <x:c r="A296" s="23" t="str">
        <x:v>quantile</x:v>
      </x:c>
      <x:c r="B296" s="23" t="str">
        <x:v>msms_neg</x:v>
      </x:c>
      <x:c r="C296" s="23" t="str">
        <x:v>ttn</x:v>
      </x:c>
      <x:c r="D296" s="23" t="n">
        <x:v>41</x:v>
      </x:c>
      <x:c r="E296" s="23" t="n">
        <x:v>600</x:v>
      </x:c>
      <x:c r="F296" s="23"/>
      <x:c r="G296" s="23"/>
      <x:c r="H296" s="23"/>
      <x:c r="I296" s="24" t="n">
        <x:v>0.6452498075829066</x:v>
      </x:c>
      <x:c r="J296" s="24" t="n">
        <x:v>0.14639373782783863</x:v>
      </x:c>
      <x:c r="K296" s="24" t="n">
        <x:v>0.3958217727053726</x:v>
      </x:c>
      <x:c r="L296" s="24" t="n">
        <x:v>0.400036</x:v>
      </x:c>
      <x:c r="M296" s="24" t="n">
        <x:v>0.6453919915670053</x:v>
      </x:c>
      <x:c r="N296" s="24" t="n">
        <x:v>0.14429577054811774</x:v>
      </x:c>
      <x:c r="O296" s="24" t="n">
        <x:v>0.3948438810575615</x:v>
      </x:c>
      <x:c r="P296" s="24" t="n">
        <x:v>0.40062</x:v>
      </x:c>
      <x:c r="Q296" s="24"/>
      <x:c r="R296" s="24"/>
      <x:c r="S296" s="24" t="n">
        <x:v>0.721497</x:v>
      </x:c>
      <x:c r="T296" s="24"/>
      <x:c r="U296" s="24" t="n">
        <x:v>0.58381</x:v>
      </x:c>
      <x:c r="V296" s="24"/>
      <x:c r="W296" s="23" t="n">
        <x:v>6</x:v>
      </x:c>
      <x:c r="X296" s="23" t="n">
        <x:v>58</x:v>
      </x:c>
      <x:c r="Y296" s="25" t="n">
        <x:v>18.325666666666667</x:v>
      </x:c>
      <x:c r="Z296" s="23" t="str">
        <x:v>benchmark/preprocessing_training/dim_600/quantile/msms_neg/seed_41/ttn/metrics.json</x:v>
      </x:c>
    </x:row>
    <x:row r="297">
      <x:c r="A297" s="23" t="str">
        <x:v>quantile</x:v>
      </x:c>
      <x:c r="B297" s="23" t="str">
        <x:v>msms_neg</x:v>
      </x:c>
      <x:c r="C297" s="23" t="str">
        <x:v>xgboost</x:v>
      </x:c>
      <x:c r="D297" s="23" t="n">
        <x:v>41</x:v>
      </x:c>
      <x:c r="E297" s="23" t="n">
        <x:v>600</x:v>
      </x:c>
      <x:c r="F297" s="23" t="n">
        <x:v>635496</x:v>
      </x:c>
      <x:c r="G297" s="23" t="n">
        <x:v>79450</x:v>
      </x:c>
      <x:c r="H297" s="23" t="n">
        <x:v>79457</x:v>
      </x:c>
      <x:c r="I297" s="24" t="n">
        <x:v>0.6236014185468411</x:v>
      </x:c>
      <x:c r="J297" s="24" t="n">
        <x:v>0.10775398960274997</x:v>
      </x:c>
      <x:c r="K297" s="24" t="n">
        <x:v>0.36567770407479555</x:v>
      </x:c>
      <x:c r="L297" s="24"/>
      <x:c r="M297" s="24" t="n">
        <x:v>0.6234399692615867</x:v>
      </x:c>
      <x:c r="N297" s="24" t="n">
        <x:v>0.10788404140035641</x:v>
      </x:c>
      <x:c r="O297" s="24" t="n">
        <x:v>0.3656620053309716</x:v>
      </x:c>
      <x:c r="P297" s="24"/>
      <x:c r="Q297" s="24"/>
      <x:c r="R297" s="24"/>
      <x:c r="S297" s="24"/>
      <x:c r="T297" s="24"/>
      <x:c r="U297" s="24"/>
      <x:c r="V297" s="24"/>
      <x:c r="W297" s="23"/>
      <x:c r="X297" s="23"/>
      <x:c r="Y297" s="25" t="n">
        <x:v>2.6376286963330737</x:v>
      </x:c>
      <x:c r="Z297" s="23" t="str">
        <x:v>benchmark/preprocessing_training/dim_600/quantile/msms_neg/seed_41/xgboost/neg_msms/original/metrics.json</x:v>
      </x:c>
    </x:row>
    <x:row r="298">
      <x:c r="A298" s="23" t="str">
        <x:v>quantile</x:v>
      </x:c>
      <x:c r="B298" s="23" t="str">
        <x:v>msms_pos</x:v>
      </x:c>
      <x:c r="C298" s="23" t="str">
        <x:v>cnn</x:v>
      </x:c>
      <x:c r="D298" s="23" t="n">
        <x:v>41</x:v>
      </x:c>
      <x:c r="E298" s="23" t="n">
        <x:v>600</x:v>
      </x:c>
      <x:c r="F298" s="23" t="n">
        <x:v>635496</x:v>
      </x:c>
      <x:c r="G298" s="23" t="n">
        <x:v>79450</x:v>
      </x:c>
      <x:c r="H298" s="23" t="n">
        <x:v>79457</x:v>
      </x:c>
      <x:c r="I298" s="24" t="n">
        <x:v>0.6378341135998146</x:v>
      </x:c>
      <x:c r="J298" s="24" t="n">
        <x:v>0.10820337158090754</x:v>
      </x:c>
      <x:c r="K298" s="24" t="n">
        <x:v>0.37301874259036105</x:v>
      </x:c>
      <x:c r="L298" s="24" t="n">
        <x:v>0.1988537311553955</x:v>
      </x:c>
      <x:c r="M298" s="24" t="n">
        <x:v>0.6370256900822966</x:v>
      </x:c>
      <x:c r="N298" s="24" t="n">
        <x:v>0.10814412084208591</x:v>
      </x:c>
      <x:c r="O298" s="24" t="n">
        <x:v>0.37258490546219125</x:v>
      </x:c>
      <x:c r="P298" s="24"/>
      <x:c r="Q298" s="24"/>
      <x:c r="R298" s="24"/>
      <x:c r="S298" s="24"/>
      <x:c r="T298" s="24"/>
      <x:c r="U298" s="24"/>
      <x:c r="V298" s="24"/>
      <x:c r="W298" s="23" t="n">
        <x:v>22</x:v>
      </x:c>
      <x:c r="X298" s="23" t="n">
        <x:v>31</x:v>
      </x:c>
      <x:c r="Y298" s="25" t="n">
        <x:v>24.204956318116942</x:v>
      </x:c>
      <x:c r="Z298" s="23" t="str">
        <x:v>benchmark/preprocessing_training/dim_600/quantile/msms_pos/seed_41/cnn/pos_msms/original/metrics.json</x:v>
      </x:c>
    </x:row>
    <x:row r="299">
      <x:c r="A299" s="23" t="str">
        <x:v>quantile</x:v>
      </x:c>
      <x:c r="B299" s="23" t="str">
        <x:v>msms_pos</x:v>
      </x:c>
      <x:c r="C299" s="23" t="str">
        <x:v>mps</x:v>
      </x:c>
      <x:c r="D299" s="23" t="n">
        <x:v>41</x:v>
      </x:c>
      <x:c r="E299" s="23" t="n">
        <x:v>600</x:v>
      </x:c>
      <x:c r="F299" s="23"/>
      <x:c r="G299" s="23"/>
      <x:c r="H299" s="23"/>
      <x:c r="I299" s="24" t="n">
        <x:v>0.2929</x:v>
      </x:c>
      <x:c r="J299" s="24" t="n">
        <x:v>0.1744</x:v>
      </x:c>
      <x:c r="K299" s="24" t="n">
        <x:v>0.23365</x:v>
      </x:c>
      <x:c r="L299" s="24" t="n">
        <x:v>1.1752</x:v>
      </x:c>
      <x:c r="M299" s="24" t="n">
        <x:v>0.2928406630192256</x:v>
      </x:c>
      <x:c r="N299" s="24" t="n">
        <x:v>0.17479144541146574</x:v>
      </x:c>
      <x:c r="O299" s="24" t="n">
        <x:v>0.23381605421534568</x:v>
      </x:c>
      <x:c r="P299" s="24" t="n">
        <x:v>1.1598</x:v>
      </x:c>
      <x:c r="Q299" s="24" t="n">
        <x:v>0</x:v>
      </x:c>
      <x:c r="R299" s="24" t="n">
        <x:v>0.5559</x:v>
      </x:c>
      <x:c r="S299" s="24" t="n">
        <x:v>0.1927</x:v>
      </x:c>
      <x:c r="T299" s="24" t="n">
        <x:v>0.1538</x:v>
      </x:c>
      <x:c r="U299" s="24" t="n">
        <x:v>0.6095</x:v>
      </x:c>
      <x:c r="V299" s="24" t="n">
        <x:v>0.5651</x:v>
      </x:c>
      <x:c r="W299" s="23" t="n">
        <x:v>3</x:v>
      </x:c>
      <x:c r="X299" s="23" t="n">
        <x:v>23</x:v>
      </x:c>
      <x:c r="Y299" s="25" t="n">
        <x:v>27.3</x:v>
      </x:c>
      <x:c r="Z299" s="23" t="str">
        <x:v>benchmark/preprocessing_training/dim_600/quantile/msms_pos/seed_41/mps/results/metrics.json</x:v>
      </x:c>
    </x:row>
    <x:row r="300">
      <x:c r="A300" s="23" t="str">
        <x:v>quantile</x:v>
      </x:c>
      <x:c r="B300" s="23" t="str">
        <x:v>msms_pos</x:v>
      </x:c>
      <x:c r="C300" s="23" t="str">
        <x:v>ttn</x:v>
      </x:c>
      <x:c r="D300" s="23" t="n">
        <x:v>41</x:v>
      </x:c>
      <x:c r="E300" s="23" t="n">
        <x:v>600</x:v>
      </x:c>
      <x:c r="F300" s="23"/>
      <x:c r="G300" s="23"/>
      <x:c r="H300" s="23"/>
      <x:c r="I300" s="24" t="n">
        <x:v>0.6495360787435768</x:v>
      </x:c>
      <x:c r="J300" s="24" t="n">
        <x:v>0.14467677718722544</x:v>
      </x:c>
      <x:c r="K300" s="24" t="n">
        <x:v>0.3971064279654011</x:v>
      </x:c>
      <x:c r="L300" s="24" t="n">
        <x:v>0.399798</x:v>
      </x:c>
      <x:c r="M300" s="24" t="n">
        <x:v>0.6484764498813336</x:v>
      </x:c>
      <x:c r="N300" s="24" t="n">
        <x:v>0.14487579115667062</x:v>
      </x:c>
      <x:c r="O300" s="24" t="n">
        <x:v>0.3966761205190021</x:v>
      </x:c>
      <x:c r="P300" s="24" t="n">
        <x:v>0.400359</x:v>
      </x:c>
      <x:c r="Q300" s="24"/>
      <x:c r="R300" s="24"/>
      <x:c r="S300" s="24" t="n">
        <x:v>0.720094</x:v>
      </x:c>
      <x:c r="T300" s="24"/>
      <x:c r="U300" s="24" t="n">
        <x:v>0.589816</x:v>
      </x:c>
      <x:c r="V300" s="24"/>
      <x:c r="W300" s="23" t="n">
        <x:v>4</x:v>
      </x:c>
      <x:c r="X300" s="23" t="n">
        <x:v>62</x:v>
      </x:c>
      <x:c r="Y300" s="25" t="n">
        <x:v>19.374666666666666</x:v>
      </x:c>
      <x:c r="Z300" s="23" t="str">
        <x:v>benchmark/preprocessing_training/dim_600/quantile/msms_pos/seed_41/ttn/metrics.json</x:v>
      </x:c>
    </x:row>
    <x:row r="301">
      <x:c r="A301" s="23" t="str">
        <x:v>quantile</x:v>
      </x:c>
      <x:c r="B301" s="23" t="str">
        <x:v>msms_pos</x:v>
      </x:c>
      <x:c r="C301" s="23" t="str">
        <x:v>xgboost</x:v>
      </x:c>
      <x:c r="D301" s="23" t="n">
        <x:v>41</x:v>
      </x:c>
      <x:c r="E301" s="23" t="n">
        <x:v>600</x:v>
      </x:c>
      <x:c r="F301" s="23" t="n">
        <x:v>635496</x:v>
      </x:c>
      <x:c r="G301" s="23" t="n">
        <x:v>79450</x:v>
      </x:c>
      <x:c r="H301" s="23" t="n">
        <x:v>79457</x:v>
      </x:c>
      <x:c r="I301" s="24" t="n">
        <x:v>0.6335706197437562</x:v>
      </x:c>
      <x:c r="J301" s="24" t="n">
        <x:v>0.10166479219339133</x:v>
      </x:c>
      <x:c r="K301" s="24" t="n">
        <x:v>0.36761770596857374</x:v>
      </x:c>
      <x:c r="L301" s="24"/>
      <x:c r="M301" s="24" t="n">
        <x:v>0.6331847417690887</x:v>
      </x:c>
      <x:c r="N301" s="24" t="n">
        <x:v>0.10218968958499343</x:v>
      </x:c>
      <x:c r="O301" s="24" t="n">
        <x:v>0.36768721567704105</x:v>
      </x:c>
      <x:c r="P301" s="24"/>
      <x:c r="Q301" s="24"/>
      <x:c r="R301" s="24"/>
      <x:c r="S301" s="24"/>
      <x:c r="T301" s="24"/>
      <x:c r="U301" s="24"/>
      <x:c r="V301" s="24"/>
      <x:c r="W301" s="23"/>
      <x:c r="X301" s="23"/>
      <x:c r="Y301" s="25" t="n">
        <x:v>2.6817562417670464</x:v>
      </x:c>
      <x:c r="Z301" s="23" t="str">
        <x:v>benchmark/preprocessing_training/dim_600/quantile/msms_pos/seed_41/xgboost/pos_msms/original/metrics.json</x:v>
      </x:c>
    </x:row>
    <x:row r="302">
      <x:c r="A302" s="23" t="str">
        <x:v>savgol</x:v>
      </x:c>
      <x:c r="B302" s="23" t="str">
        <x:v>cnmr</x:v>
      </x:c>
      <x:c r="C302" s="23" t="str">
        <x:v>cnn</x:v>
      </x:c>
      <x:c r="D302" s="23" t="n">
        <x:v>41</x:v>
      </x:c>
      <x:c r="E302" s="23" t="n">
        <x:v>600</x:v>
      </x:c>
      <x:c r="F302" s="23" t="n">
        <x:v>635496</x:v>
      </x:c>
      <x:c r="G302" s="23" t="n">
        <x:v>79450</x:v>
      </x:c>
      <x:c r="H302" s="23" t="n">
        <x:v>79457</x:v>
      </x:c>
      <x:c r="I302" s="24" t="n">
        <x:v>0.5033691660159045</x:v>
      </x:c>
      <x:c r="J302" s="24" t="n">
        <x:v>0.06775591832383498</x:v>
      </x:c>
      <x:c r="K302" s="24" t="n">
        <x:v>0.28556254216986976</x:v>
      </x:c>
      <x:c r="L302" s="24" t="n">
        <x:v>0.8184045553207397</x:v>
      </x:c>
      <x:c r="M302" s="24" t="n">
        <x:v>0.5038814013244026</x:v>
      </x:c>
      <x:c r="N302" s="24" t="n">
        <x:v>0.06792171755732943</x:v>
      </x:c>
      <x:c r="O302" s="24" t="n">
        <x:v>0.28590155944086604</x:v>
      </x:c>
      <x:c r="P302" s="24"/>
      <x:c r="Q302" s="24"/>
      <x:c r="R302" s="24"/>
      <x:c r="S302" s="24"/>
      <x:c r="T302" s="24"/>
      <x:c r="U302" s="24"/>
      <x:c r="V302" s="24"/>
      <x:c r="W302" s="23" t="n">
        <x:v>28</x:v>
      </x:c>
      <x:c r="X302" s="23" t="n">
        <x:v>55</x:v>
      </x:c>
      <x:c r="Y302" s="25" t="n">
        <x:v>38.521230006249</x:v>
      </x:c>
      <x:c r="Z302" s="23" t="str">
        <x:v>benchmark/preprocessing_training/dim_600/savgol/cnmr/seed_41/cnn/cnmr/original/metrics.json</x:v>
      </x:c>
    </x:row>
    <x:row r="303">
      <x:c r="A303" s="23" t="str">
        <x:v>savgol</x:v>
      </x:c>
      <x:c r="B303" s="23" t="str">
        <x:v>cnmr</x:v>
      </x:c>
      <x:c r="C303" s="23" t="str">
        <x:v>mps</x:v>
      </x:c>
      <x:c r="D303" s="23" t="n">
        <x:v>41</x:v>
      </x:c>
      <x:c r="E303" s="23" t="n">
        <x:v>600</x:v>
      </x:c>
      <x:c r="F303" s="23"/>
      <x:c r="G303" s="23"/>
      <x:c r="H303" s="23"/>
      <x:c r="I303" s="24" t="n">
        <x:v>0.5929</x:v>
      </x:c>
      <x:c r="J303" s="24" t="n">
        <x:v>0.2895</x:v>
      </x:c>
      <x:c r="K303" s="24" t="n">
        <x:v>0.4412</x:v>
      </x:c>
      <x:c r="L303" s="24" t="n">
        <x:v>8.2862</x:v>
      </x:c>
      <x:c r="M303" s="24" t="n">
        <x:v>0.5935108492614549</x:v>
      </x:c>
      <x:c r="N303" s="24" t="n">
        <x:v>0.28355768302849677</x:v>
      </x:c>
      <x:c r="O303" s="24" t="n">
        <x:v>0.4385342661449758</x:v>
      </x:c>
      <x:c r="P303" s="24" t="n">
        <x:v>8.5578</x:v>
      </x:c>
      <x:c r="Q303" s="24" t="n">
        <x:v>0.0096</x:v>
      </x:c>
      <x:c r="R303" s="24" t="n">
        <x:v>0.6793</x:v>
      </x:c>
      <x:c r="S303" s="24" t="n">
        <x:v>0.4924</x:v>
      </x:c>
      <x:c r="T303" s="24" t="n">
        <x:v>0.2367</x:v>
      </x:c>
      <x:c r="U303" s="24" t="n">
        <x:v>0.747</x:v>
      </x:c>
      <x:c r="V303" s="24" t="n">
        <x:v>0.4287</x:v>
      </x:c>
      <x:c r="W303" s="23" t="n">
        <x:v>184</x:v>
      </x:c>
      <x:c r="X303" s="23" t="n">
        <x:v>194</x:v>
      </x:c>
      <x:c r="Y303" s="25" t="n">
        <x:v>276.5</x:v>
      </x:c>
      <x:c r="Z303" s="23" t="str">
        <x:v>benchmark/preprocessing_training/dim_600/savgol/cnmr/seed_41/mps/results/metrics.json</x:v>
      </x:c>
    </x:row>
    <x:row r="304">
      <x:c r="A304" s="23" t="str">
        <x:v>savgol</x:v>
      </x:c>
      <x:c r="B304" s="23" t="str">
        <x:v>cnmr</x:v>
      </x:c>
      <x:c r="C304" s="23" t="str">
        <x:v>ttn</x:v>
      </x:c>
      <x:c r="D304" s="23" t="n">
        <x:v>41</x:v>
      </x:c>
      <x:c r="E304" s="23" t="n">
        <x:v>600</x:v>
      </x:c>
      <x:c r="F304" s="23"/>
      <x:c r="G304" s="23"/>
      <x:c r="H304" s="23"/>
      <x:c r="I304" s="24" t="n">
        <x:v>0.7138120151162668</x:v>
      </x:c>
      <x:c r="J304" s="24" t="n">
        <x:v>0.3277036024447379</x:v>
      </x:c>
      <x:c r="K304" s="24" t="n">
        <x:v>0.5207578087805024</x:v>
      </x:c>
      <x:c r="L304" s="24" t="n">
        <x:v>0.326009</x:v>
      </x:c>
      <x:c r="M304" s="24" t="n">
        <x:v>0.7148586664702331</x:v>
      </x:c>
      <x:c r="N304" s="24" t="n">
        <x:v>0.3255776672934717</x:v>
      </x:c>
      <x:c r="O304" s="24" t="n">
        <x:v>0.5202181668818524</x:v>
      </x:c>
      <x:c r="P304" s="24" t="n">
        <x:v>0.326772</x:v>
      </x:c>
      <x:c r="Q304" s="24"/>
      <x:c r="R304" s="24"/>
      <x:c r="S304" s="24" t="n">
        <x:v>0.713967</x:v>
      </x:c>
      <x:c r="T304" s="24"/>
      <x:c r="U304" s="24" t="n">
        <x:v>0.715752</x:v>
      </x:c>
      <x:c r="V304" s="24"/>
      <x:c r="W304" s="23" t="n">
        <x:v>36</x:v>
      </x:c>
      <x:c r="X304" s="23" t="n">
        <x:v>56</x:v>
      </x:c>
      <x:c r="Y304" s="25" t="n">
        <x:v>16.285666666666668</x:v>
      </x:c>
      <x:c r="Z304" s="23" t="str">
        <x:v>benchmark/preprocessing_training/dim_600/savgol/cnmr/seed_41/ttn/metrics.json</x:v>
      </x:c>
    </x:row>
    <x:row r="305">
      <x:c r="A305" s="23" t="str">
        <x:v>savgol</x:v>
      </x:c>
      <x:c r="B305" s="23" t="str">
        <x:v>cnmr</x:v>
      </x:c>
      <x:c r="C305" s="23" t="str">
        <x:v>xgboost</x:v>
      </x:c>
      <x:c r="D305" s="23" t="n">
        <x:v>41</x:v>
      </x:c>
      <x:c r="E305" s="23" t="n">
        <x:v>600</x:v>
      </x:c>
      <x:c r="F305" s="23" t="n">
        <x:v>635496</x:v>
      </x:c>
      <x:c r="G305" s="23" t="n">
        <x:v>79450</x:v>
      </x:c>
      <x:c r="H305" s="23" t="n">
        <x:v>79457</x:v>
      </x:c>
      <x:c r="I305" s="24" t="n">
        <x:v>0.7735515323175192</x:v>
      </x:c>
      <x:c r="J305" s="24" t="n">
        <x:v>0.3698484165091906</x:v>
      </x:c>
      <x:c r="K305" s="24" t="n">
        <x:v>0.5716999744133549</x:v>
      </x:c>
      <x:c r="L305" s="24"/>
      <x:c r="M305" s="24" t="n">
        <x:v>0.7737396396265167</x:v>
      </x:c>
      <x:c r="N305" s="24" t="n">
        <x:v>0.3635980909849974</x:v>
      </x:c>
      <x:c r="O305" s="24" t="n">
        <x:v>0.568668865305757</x:v>
      </x:c>
      <x:c r="P305" s="24"/>
      <x:c r="Q305" s="24"/>
      <x:c r="R305" s="24"/>
      <x:c r="S305" s="24"/>
      <x:c r="T305" s="24"/>
      <x:c r="U305" s="24"/>
      <x:c r="V305" s="24"/>
      <x:c r="W305" s="23"/>
      <x:c r="X305" s="23"/>
      <x:c r="Y305" s="25" t="n">
        <x:v>4.940749342231235</x:v>
      </x:c>
      <x:c r="Z305" s="23" t="str">
        <x:v>benchmark/preprocessing_training/dim_600/savgol/cnmr/seed_41/xgboost/cnmr/original/metrics.json</x:v>
      </x:c>
    </x:row>
    <x:row r="306">
      <x:c r="A306" s="23" t="str">
        <x:v>savgol</x:v>
      </x:c>
      <x:c r="B306" s="23" t="str">
        <x:v>hnmr</x:v>
      </x:c>
      <x:c r="C306" s="23" t="str">
        <x:v>cnn</x:v>
      </x:c>
      <x:c r="D306" s="23" t="n">
        <x:v>41</x:v>
      </x:c>
      <x:c r="E306" s="23" t="n">
        <x:v>600</x:v>
      </x:c>
      <x:c r="F306" s="23" t="n">
        <x:v>635496</x:v>
      </x:c>
      <x:c r="G306" s="23" t="n">
        <x:v>79450</x:v>
      </x:c>
      <x:c r="H306" s="23" t="n">
        <x:v>79457</x:v>
      </x:c>
      <x:c r="I306" s="24" t="n">
        <x:v>0.547266813926878</x:v>
      </x:c>
      <x:c r="J306" s="24" t="n">
        <x:v>0.10048824140138317</x:v>
      </x:c>
      <x:c r="K306" s="24" t="n">
        <x:v>0.3238775276641306</x:v>
      </x:c>
      <x:c r="L306" s="24" t="n">
        <x:v>0.5071355104446411</x:v>
      </x:c>
      <x:c r="M306" s="24" t="n">
        <x:v>0.5472609355595419</x:v>
      </x:c>
      <x:c r="N306" s="24" t="n">
        <x:v>0.10049795629135162</x:v>
      </x:c>
      <x:c r="O306" s="24" t="n">
        <x:v>0.32387944592544676</x:v>
      </x:c>
      <x:c r="P306" s="24"/>
      <x:c r="Q306" s="24"/>
      <x:c r="R306" s="24"/>
      <x:c r="S306" s="24"/>
      <x:c r="T306" s="24"/>
      <x:c r="U306" s="24"/>
      <x:c r="V306" s="24"/>
      <x:c r="W306" s="23" t="n">
        <x:v>79</x:v>
      </x:c>
      <x:c r="X306" s="23" t="n">
        <x:v>81</x:v>
      </x:c>
      <x:c r="Y306" s="25" t="n">
        <x:v>58.43318137136521</x:v>
      </x:c>
      <x:c r="Z306" s="23" t="str">
        <x:v>benchmark/preprocessing_training/dim_600/savgol/hnmr/seed_41/cnn/hnmr/original/metrics.json</x:v>
      </x:c>
    </x:row>
    <x:row r="307">
      <x:c r="A307" s="23" t="str">
        <x:v>savgol</x:v>
      </x:c>
      <x:c r="B307" s="23" t="str">
        <x:v>hnmr</x:v>
      </x:c>
      <x:c r="C307" s="23" t="str">
        <x:v>mps</x:v>
      </x:c>
      <x:c r="D307" s="23" t="n">
        <x:v>41</x:v>
      </x:c>
      <x:c r="E307" s="23" t="n">
        <x:v>600</x:v>
      </x:c>
      <x:c r="F307" s="23"/>
      <x:c r="G307" s="23"/>
      <x:c r="H307" s="23"/>
      <x:c r="I307" s="24" t="n">
        <x:v>0.6364</x:v>
      </x:c>
      <x:c r="J307" s="24" t="n">
        <x:v>0.3278</x:v>
      </x:c>
      <x:c r="K307" s="24" t="n">
        <x:v>0.4821</x:v>
      </x:c>
      <x:c r="L307" s="24" t="n">
        <x:v>7.8911</x:v>
      </x:c>
      <x:c r="M307" s="24" t="n">
        <x:v>0.6374887155774929</x:v>
      </x:c>
      <x:c r="N307" s="24" t="n">
        <x:v>0.3237737912058841</x:v>
      </x:c>
      <x:c r="O307" s="24" t="n">
        <x:v>0.4806312533916885</x:v>
      </x:c>
      <x:c r="P307" s="24" t="n">
        <x:v>8.0901</x:v>
      </x:c>
      <x:c r="Q307" s="24" t="n">
        <x:v>0.0249</x:v>
      </x:c>
      <x:c r="R307" s="24" t="n">
        <x:v>0.6885</x:v>
      </x:c>
      <x:c r="S307" s="24" t="n">
        <x:v>0.5646</x:v>
      </x:c>
      <x:c r="T307" s="24" t="n">
        <x:v>0.2894</x:v>
      </x:c>
      <x:c r="U307" s="24" t="n">
        <x:v>0.7319</x:v>
      </x:c>
      <x:c r="V307" s="24" t="n">
        <x:v>0.3966</x:v>
      </x:c>
      <x:c r="W307" s="23" t="n">
        <x:v>191</x:v>
      </x:c>
      <x:c r="X307" s="23" t="n">
        <x:v>198</x:v>
      </x:c>
      <x:c r="Y307" s="25" t="n">
        <x:v>132.4</x:v>
      </x:c>
      <x:c r="Z307" s="23" t="str">
        <x:v>benchmark/preprocessing_training/dim_600/savgol/hnmr/seed_41/mps/results/metrics.json</x:v>
      </x:c>
    </x:row>
    <x:row r="308">
      <x:c r="A308" s="23" t="str">
        <x:v>savgol</x:v>
      </x:c>
      <x:c r="B308" s="23" t="str">
        <x:v>hnmr</x:v>
      </x:c>
      <x:c r="C308" s="23" t="str">
        <x:v>ttn</x:v>
      </x:c>
      <x:c r="D308" s="23" t="n">
        <x:v>41</x:v>
      </x:c>
      <x:c r="E308" s="23" t="n">
        <x:v>600</x:v>
      </x:c>
      <x:c r="F308" s="23"/>
      <x:c r="G308" s="23"/>
      <x:c r="H308" s="23"/>
      <x:c r="I308" s="24" t="n">
        <x:v>0.6851104116261946</x:v>
      </x:c>
      <x:c r="J308" s="24" t="n">
        <x:v>0.28958818389994256</x:v>
      </x:c>
      <x:c r="K308" s="24" t="n">
        <x:v>0.48734929776306857</x:v>
      </x:c>
      <x:c r="L308" s="24" t="n">
        <x:v>0.346821</x:v>
      </x:c>
      <x:c r="M308" s="24" t="n">
        <x:v>0.6849876782339747</x:v>
      </x:c>
      <x:c r="N308" s="24" t="n">
        <x:v>0.2841675757887624</x:v>
      </x:c>
      <x:c r="O308" s="24" t="n">
        <x:v>0.48457762701136853</x:v>
      </x:c>
      <x:c r="P308" s="24" t="n">
        <x:v>0.348381</x:v>
      </x:c>
      <x:c r="Q308" s="24"/>
      <x:c r="R308" s="24"/>
      <x:c r="S308" s="24" t="n">
        <x:v>0.701938</x:v>
      </x:c>
      <x:c r="T308" s="24"/>
      <x:c r="U308" s="24" t="n">
        <x:v>0.668836</x:v>
      </x:c>
      <x:c r="V308" s="24"/>
      <x:c r="W308" s="23" t="n">
        <x:v>20</x:v>
      </x:c>
      <x:c r="X308" s="23" t="n">
        <x:v>99</x:v>
      </x:c>
      <x:c r="Y308" s="25" t="n">
        <x:v>28.967499999999998</x:v>
      </x:c>
      <x:c r="Z308" s="23" t="str">
        <x:v>benchmark/preprocessing_training/dim_600/savgol/hnmr/seed_41/ttn/metrics.json</x:v>
      </x:c>
    </x:row>
    <x:row r="309">
      <x:c r="A309" s="23" t="str">
        <x:v>savgol</x:v>
      </x:c>
      <x:c r="B309" s="23" t="str">
        <x:v>hnmr</x:v>
      </x:c>
      <x:c r="C309" s="23" t="str">
        <x:v>xgboost</x:v>
      </x:c>
      <x:c r="D309" s="23" t="n">
        <x:v>41</x:v>
      </x:c>
      <x:c r="E309" s="23" t="n">
        <x:v>600</x:v>
      </x:c>
      <x:c r="F309" s="23" t="n">
        <x:v>635496</x:v>
      </x:c>
      <x:c r="G309" s="23" t="n">
        <x:v>79450</x:v>
      </x:c>
      <x:c r="H309" s="23" t="n">
        <x:v>79457</x:v>
      </x:c>
      <x:c r="I309" s="24" t="n">
        <x:v>0.752629305431398</x:v>
      </x:c>
      <x:c r="J309" s="24" t="n">
        <x:v>0.33640600873264215</x:v>
      </x:c>
      <x:c r="K309" s="24" t="n">
        <x:v>0.54451765708202</x:v>
      </x:c>
      <x:c r="L309" s="24"/>
      <x:c r="M309" s="24" t="n">
        <x:v>0.7532712271546738</x:v>
      </x:c>
      <x:c r="N309" s="24" t="n">
        <x:v>0.3224304853271411</x:v>
      </x:c>
      <x:c r="O309" s="24" t="n">
        <x:v>0.5378508562409074</x:v>
      </x:c>
      <x:c r="P309" s="24"/>
      <x:c r="Q309" s="24"/>
      <x:c r="R309" s="24"/>
      <x:c r="S309" s="24"/>
      <x:c r="T309" s="24"/>
      <x:c r="U309" s="24"/>
      <x:c r="V309" s="24"/>
      <x:c r="W309" s="23"/>
      <x:c r="X309" s="23"/>
      <x:c r="Y309" s="25" t="n">
        <x:v>6.545042629617577</x:v>
      </x:c>
      <x:c r="Z309" s="23" t="str">
        <x:v>benchmark/preprocessing_training/dim_600/savgol/hnmr/seed_41/xgboost/hnmr/original/metrics.json</x:v>
      </x:c>
    </x:row>
    <x:row r="310">
      <x:c r="A310" s="23" t="str">
        <x:v>savgol</x:v>
      </x:c>
      <x:c r="B310" s="23" t="str">
        <x:v>ir</x:v>
      </x:c>
      <x:c r="C310" s="23" t="str">
        <x:v>cnn</x:v>
      </x:c>
      <x:c r="D310" s="23" t="n">
        <x:v>41</x:v>
      </x:c>
      <x:c r="E310" s="23" t="n">
        <x:v>600</x:v>
      </x:c>
      <x:c r="F310" s="23" t="n">
        <x:v>635496</x:v>
      </x:c>
      <x:c r="G310" s="23" t="n">
        <x:v>79450</x:v>
      </x:c>
      <x:c r="H310" s="23" t="n">
        <x:v>79457</x:v>
      </x:c>
      <x:c r="I310" s="24" t="n">
        <x:v>0.8827754269556523</x:v>
      </x:c>
      <x:c r="J310" s="24" t="n">
        <x:v>0.6542101811675917</x:v>
      </x:c>
      <x:c r="K310" s="24" t="n">
        <x:v>0.7684928040616219</x:v>
      </x:c>
      <x:c r="L310" s="24" t="n">
        <x:v>0.08438335359096527</x:v>
      </x:c>
      <x:c r="M310" s="24" t="n">
        <x:v>0.8816122841707801</x:v>
      </x:c>
      <x:c r="N310" s="24" t="n">
        <x:v>0.6616519268012881</x:v>
      </x:c>
      <x:c r="O310" s="24" t="n">
        <x:v>0.7716321054860341</x:v>
      </x:c>
      <x:c r="P310" s="24"/>
      <x:c r="Q310" s="24"/>
      <x:c r="R310" s="24"/>
      <x:c r="S310" s="24"/>
      <x:c r="T310" s="24"/>
      <x:c r="U310" s="24"/>
      <x:c r="V310" s="24"/>
      <x:c r="W310" s="23" t="n">
        <x:v>56</x:v>
      </x:c>
      <x:c r="X310" s="23" t="n">
        <x:v>56</x:v>
      </x:c>
      <x:c r="Y310" s="25" t="n">
        <x:v>41.968631426248855</x:v>
      </x:c>
      <x:c r="Z310" s="23" t="str">
        <x:v>benchmark/preprocessing_training/dim_600/savgol/ir/seed_41/cnn/ir/original/metrics.json</x:v>
      </x:c>
    </x:row>
    <x:row r="311">
      <x:c r="A311" s="23" t="str">
        <x:v>savgol</x:v>
      </x:c>
      <x:c r="B311" s="23" t="str">
        <x:v>ir</x:v>
      </x:c>
      <x:c r="C311" s="23" t="str">
        <x:v>mps</x:v>
      </x:c>
      <x:c r="D311" s="23" t="n">
        <x:v>41</x:v>
      </x:c>
      <x:c r="E311" s="23" t="n">
        <x:v>600</x:v>
      </x:c>
      <x:c r="F311" s="23"/>
      <x:c r="G311" s="23"/>
      <x:c r="H311" s="23"/>
      <x:c r="I311" s="24" t="n">
        <x:v>0.8358</x:v>
      </x:c>
      <x:c r="J311" s="24" t="n">
        <x:v>0.6774</x:v>
      </x:c>
      <x:c r="K311" s="24" t="n">
        <x:v>0.7565999999999999</x:v>
      </x:c>
      <x:c r="L311" s="24" t="n">
        <x:v>3.3881</x:v>
      </x:c>
      <x:c r="M311" s="24" t="n">
        <x:v>0.8360597539590146</x:v>
      </x:c>
      <x:c r="N311" s="24" t="n">
        <x:v>0.6753847495705807</x:v>
      </x:c>
      <x:c r="O311" s="24" t="n">
        <x:v>0.7557222517647977</x:v>
      </x:c>
      <x:c r="P311" s="24" t="n">
        <x:v>3.3866</x:v>
      </x:c>
      <x:c r="Q311" s="24" t="n">
        <x:v>0.2364</x:v>
      </x:c>
      <x:c r="R311" s="24" t="n">
        <x:v>0.8383</x:v>
      </x:c>
      <x:c r="S311" s="24" t="n">
        <x:v>0.8507</x:v>
      </x:c>
      <x:c r="T311" s="24" t="n">
        <x:v>0.6952</x:v>
      </x:c>
      <x:c r="U311" s="24" t="n">
        <x:v>0.822</x:v>
      </x:c>
      <x:c r="V311" s="24" t="n">
        <x:v>0.6667</x:v>
      </x:c>
      <x:c r="W311" s="23" t="n">
        <x:v>137</x:v>
      </x:c>
      <x:c r="X311" s="23" t="n">
        <x:v>147</x:v>
      </x:c>
      <x:c r="Y311" s="25" t="n">
        <x:v>98.3</x:v>
      </x:c>
      <x:c r="Z311" s="23" t="str">
        <x:v>benchmark/preprocessing_training/dim_600/savgol/ir/seed_41/mps/results/metrics.json</x:v>
      </x:c>
    </x:row>
    <x:row r="312">
      <x:c r="A312" s="23" t="str">
        <x:v>savgol</x:v>
      </x:c>
      <x:c r="B312" s="23" t="str">
        <x:v>ir</x:v>
      </x:c>
      <x:c r="C312" s="23" t="str">
        <x:v>ttn</x:v>
      </x:c>
      <x:c r="D312" s="23" t="n">
        <x:v>41</x:v>
      </x:c>
      <x:c r="E312" s="23" t="n">
        <x:v>600</x:v>
      </x:c>
      <x:c r="F312" s="23"/>
      <x:c r="G312" s="23"/>
      <x:c r="H312" s="23"/>
      <x:c r="I312" s="24" t="n">
        <x:v>0.8350813014512322</x:v>
      </x:c>
      <x:c r="J312" s="24" t="n">
        <x:v>0.6037091228931836</x:v>
      </x:c>
      <x:c r="K312" s="24" t="n">
        <x:v>0.7193952121722078</x:v>
      </x:c>
      <x:c r="L312" s="24" t="n">
        <x:v>0.185769</x:v>
      </x:c>
      <x:c r="M312" s="24" t="n">
        <x:v>0.8355351370725843</x:v>
      </x:c>
      <x:c r="N312" s="24" t="n">
        <x:v>0.6046675274801907</x:v>
      </x:c>
      <x:c r="O312" s="24" t="n">
        <x:v>0.7201013322763875</x:v>
      </x:c>
      <x:c r="P312" s="24" t="n">
        <x:v>0.185094</x:v>
      </x:c>
      <x:c r="Q312" s="24"/>
      <x:c r="R312" s="24"/>
      <x:c r="S312" s="24" t="n">
        <x:v>0.829917</x:v>
      </x:c>
      <x:c r="T312" s="24"/>
      <x:c r="U312" s="24" t="n">
        <x:v>0.84123</x:v>
      </x:c>
      <x:c r="V312" s="24"/>
      <x:c r="W312" s="23" t="n">
        <x:v>49</x:v>
      </x:c>
      <x:c r="X312" s="23" t="n">
        <x:v>69</x:v>
      </x:c>
      <x:c r="Y312" s="25" t="n">
        <x:v>20.315833333333334</x:v>
      </x:c>
      <x:c r="Z312" s="23" t="str">
        <x:v>benchmark/preprocessing_training/dim_600/savgol/ir/seed_41/ttn/metrics.json</x:v>
      </x:c>
    </x:row>
    <x:row r="313">
      <x:c r="A313" s="23" t="str">
        <x:v>savgol</x:v>
      </x:c>
      <x:c r="B313" s="23" t="str">
        <x:v>ir</x:v>
      </x:c>
      <x:c r="C313" s="23" t="str">
        <x:v>xgboost</x:v>
      </x:c>
      <x:c r="D313" s="23" t="n">
        <x:v>41</x:v>
      </x:c>
      <x:c r="E313" s="23" t="n">
        <x:v>600</x:v>
      </x:c>
      <x:c r="F313" s="23" t="n">
        <x:v>635496</x:v>
      </x:c>
      <x:c r="G313" s="23" t="n">
        <x:v>79450</x:v>
      </x:c>
      <x:c r="H313" s="23" t="n">
        <x:v>79457</x:v>
      </x:c>
      <x:c r="I313" s="24" t="n">
        <x:v>0.8341584955763367</x:v>
      </x:c>
      <x:c r="J313" s="24" t="n">
        <x:v>0.5597716880367894</x:v>
      </x:c>
      <x:c r="K313" s="24" t="n">
        <x:v>0.6969650918065631</x:v>
      </x:c>
      <x:c r="L313" s="24"/>
      <x:c r="M313" s="24" t="n">
        <x:v>0.8343068996874032</x:v>
      </x:c>
      <x:c r="N313" s="24" t="n">
        <x:v>0.5510875166435223</x:v>
      </x:c>
      <x:c r="O313" s="24" t="n">
        <x:v>0.6926972081654628</x:v>
      </x:c>
      <x:c r="P313" s="24"/>
      <x:c r="Q313" s="24"/>
      <x:c r="R313" s="24"/>
      <x:c r="S313" s="24"/>
      <x:c r="T313" s="24"/>
      <x:c r="U313" s="24"/>
      <x:c r="V313" s="24"/>
      <x:c r="W313" s="23"/>
      <x:c r="X313" s="23"/>
      <x:c r="Y313" s="25" t="n">
        <x:v>5.928680467415446</x:v>
      </x:c>
      <x:c r="Z313" s="23" t="str">
        <x:v>benchmark/preprocessing_training/dim_600/savgol/ir/seed_41/xgboost/ir/original/metrics.json</x:v>
      </x:c>
    </x:row>
    <x:row r="314">
      <x:c r="A314" s="23" t="str">
        <x:v>savgol</x:v>
      </x:c>
      <x:c r="B314" s="23" t="str">
        <x:v>msms_neg</x:v>
      </x:c>
      <x:c r="C314" s="23" t="str">
        <x:v>cnn</x:v>
      </x:c>
      <x:c r="D314" s="23" t="n">
        <x:v>41</x:v>
      </x:c>
      <x:c r="E314" s="23" t="n">
        <x:v>600</x:v>
      </x:c>
      <x:c r="F314" s="23" t="n">
        <x:v>635496</x:v>
      </x:c>
      <x:c r="G314" s="23" t="n">
        <x:v>79450</x:v>
      </x:c>
      <x:c r="H314" s="23" t="n">
        <x:v>79457</x:v>
      </x:c>
      <x:c r="I314" s="24" t="n">
        <x:v>0.6436446308926826</x:v>
      </x:c>
      <x:c r="J314" s="24" t="n">
        <x:v>0.11938908453205503</x:v>
      </x:c>
      <x:c r="K314" s="24" t="n">
        <x:v>0.3815168577123688</x:v>
      </x:c>
      <x:c r="L314" s="24" t="n">
        <x:v>0.19479674100875854</x:v>
      </x:c>
      <x:c r="M314" s="24" t="n">
        <x:v>0.6444335019472671</x:v>
      </x:c>
      <x:c r="N314" s="24" t="n">
        <x:v>0.11925041377718198</x:v>
      </x:c>
      <x:c r="O314" s="24" t="n">
        <x:v>0.3818419578622245</x:v>
      </x:c>
      <x:c r="P314" s="24"/>
      <x:c r="Q314" s="24"/>
      <x:c r="R314" s="24"/>
      <x:c r="S314" s="24"/>
      <x:c r="T314" s="24"/>
      <x:c r="U314" s="24"/>
      <x:c r="V314" s="24"/>
      <x:c r="W314" s="23" t="n">
        <x:v>16</x:v>
      </x:c>
      <x:c r="X314" s="23" t="n">
        <x:v>32</x:v>
      </x:c>
      <x:c r="Y314" s="25" t="n">
        <x:v>24.668056104735783</x:v>
      </x:c>
      <x:c r="Z314" s="23" t="str">
        <x:v>benchmark/preprocessing_training/dim_600/savgol/msms_neg/seed_41/cnn/neg_msms/original/metrics.json</x:v>
      </x:c>
    </x:row>
    <x:row r="315">
      <x:c r="A315" s="23" t="str">
        <x:v>savgol</x:v>
      </x:c>
      <x:c r="B315" s="23" t="str">
        <x:v>msms_neg</x:v>
      </x:c>
      <x:c r="C315" s="23" t="str">
        <x:v>mps</x:v>
      </x:c>
      <x:c r="D315" s="23" t="n">
        <x:v>41</x:v>
      </x:c>
      <x:c r="E315" s="23" t="n">
        <x:v>600</x:v>
      </x:c>
      <x:c r="F315" s="23"/>
      <x:c r="G315" s="23"/>
      <x:c r="H315" s="23"/>
      <x:c r="I315" s="24" t="n">
        <x:v>0.2792</x:v>
      </x:c>
      <x:c r="J315" s="24" t="n">
        <x:v>0.1723</x:v>
      </x:c>
      <x:c r="K315" s="24" t="n">
        <x:v>0.22575</x:v>
      </x:c>
      <x:c r="L315" s="24" t="n">
        <x:v>1.3417</x:v>
      </x:c>
      <x:c r="M315" s="24" t="n">
        <x:v>0.2779372102371874</x:v>
      </x:c>
      <x:c r="N315" s="24" t="n">
        <x:v>0.1718483776842782</x:v>
      </x:c>
      <x:c r="O315" s="24" t="n">
        <x:v>0.2248927939607328</x:v>
      </x:c>
      <x:c r="P315" s="24" t="n">
        <x:v>1.6919</x:v>
      </x:c>
      <x:c r="Q315" s="24" t="n">
        <x:v>0</x:v>
      </x:c>
      <x:c r="R315" s="24" t="n">
        <x:v>0.5322</x:v>
      </x:c>
      <x:c r="S315" s="24" t="n">
        <x:v>0.1844</x:v>
      </x:c>
      <x:c r="T315" s="24" t="n">
        <x:v>0.1565</x:v>
      </x:c>
      <x:c r="U315" s="24" t="n">
        <x:v>0.5637</x:v>
      </x:c>
      <x:c r="V315" s="24" t="n">
        <x:v>0.5578</x:v>
      </x:c>
      <x:c r="W315" s="23" t="n">
        <x:v>37</x:v>
      </x:c>
      <x:c r="X315" s="23" t="n">
        <x:v>57</x:v>
      </x:c>
      <x:c r="Y315" s="25" t="n">
        <x:v>39.6</x:v>
      </x:c>
      <x:c r="Z315" s="23" t="str">
        <x:v>benchmark/preprocessing_training/dim_600/savgol/msms_neg/seed_41/mps/results/metrics.json</x:v>
      </x:c>
    </x:row>
    <x:row r="316">
      <x:c r="A316" s="23" t="str">
        <x:v>savgol</x:v>
      </x:c>
      <x:c r="B316" s="23" t="str">
        <x:v>msms_neg</x:v>
      </x:c>
      <x:c r="C316" s="23" t="str">
        <x:v>ttn</x:v>
      </x:c>
      <x:c r="D316" s="23" t="n">
        <x:v>41</x:v>
      </x:c>
      <x:c r="E316" s="23" t="n">
        <x:v>600</x:v>
      </x:c>
      <x:c r="F316" s="23"/>
      <x:c r="G316" s="23"/>
      <x:c r="H316" s="23"/>
      <x:c r="I316" s="24" t="n">
        <x:v>0.6409822309243747</x:v>
      </x:c>
      <x:c r="J316" s="24" t="n">
        <x:v>0.15109139909892996</x:v>
      </x:c>
      <x:c r="K316" s="24" t="n">
        <x:v>0.39603681501165233</x:v>
      </x:c>
      <x:c r="L316" s="24" t="n">
        <x:v>0.400908</x:v>
      </x:c>
      <x:c r="M316" s="24" t="n">
        <x:v>0.6412587278757642</x:v>
      </x:c>
      <x:c r="N316" s="24" t="n">
        <x:v>0.14942940073305833</x:v>
      </x:c>
      <x:c r="O316" s="24" t="n">
        <x:v>0.39534406430441127</x:v>
      </x:c>
      <x:c r="P316" s="24" t="n">
        <x:v>0.402066</x:v>
      </x:c>
      <x:c r="Q316" s="24"/>
      <x:c r="R316" s="24"/>
      <x:c r="S316" s="24" t="n">
        <x:v>0.726843</x:v>
      </x:c>
      <x:c r="T316" s="24"/>
      <x:c r="U316" s="24" t="n">
        <x:v>0.573706</x:v>
      </x:c>
      <x:c r="V316" s="24"/>
      <x:c r="W316" s="23" t="n">
        <x:v>46</x:v>
      </x:c>
      <x:c r="X316" s="23" t="n">
        <x:v>66</x:v>
      </x:c>
      <x:c r="Y316" s="25" t="n">
        <x:v>19.362166666666667</x:v>
      </x:c>
      <x:c r="Z316" s="23" t="str">
        <x:v>benchmark/preprocessing_training/dim_600/savgol/msms_neg/seed_41/ttn/metrics.json</x:v>
      </x:c>
    </x:row>
    <x:row r="317">
      <x:c r="A317" s="23" t="str">
        <x:v>savgol</x:v>
      </x:c>
      <x:c r="B317" s="23" t="str">
        <x:v>msms_neg</x:v>
      </x:c>
      <x:c r="C317" s="23" t="str">
        <x:v>xgboost</x:v>
      </x:c>
      <x:c r="D317" s="23" t="n">
        <x:v>41</x:v>
      </x:c>
      <x:c r="E317" s="23" t="n">
        <x:v>600</x:v>
      </x:c>
      <x:c r="F317" s="23" t="n">
        <x:v>635496</x:v>
      </x:c>
      <x:c r="G317" s="23" t="n">
        <x:v>79450</x:v>
      </x:c>
      <x:c r="H317" s="23" t="n">
        <x:v>79457</x:v>
      </x:c>
      <x:c r="I317" s="24" t="n">
        <x:v>0.6448135954636723</x:v>
      </x:c>
      <x:c r="J317" s="24" t="n">
        <x:v>0.12067647439162925</x:v>
      </x:c>
      <x:c r="K317" s="24" t="n">
        <x:v>0.3827450349276508</x:v>
      </x:c>
      <x:c r="L317" s="24"/>
      <x:c r="M317" s="24" t="n">
        <x:v>0.6455288923017853</x:v>
      </x:c>
      <x:c r="N317" s="24" t="n">
        <x:v>0.12023849330414024</x:v>
      </x:c>
      <x:c r="O317" s="24" t="n">
        <x:v>0.3828836928029628</x:v>
      </x:c>
      <x:c r="P317" s="24"/>
      <x:c r="Q317" s="24"/>
      <x:c r="R317" s="24"/>
      <x:c r="S317" s="24"/>
      <x:c r="T317" s="24"/>
      <x:c r="U317" s="24"/>
      <x:c r="V317" s="24"/>
      <x:c r="W317" s="23"/>
      <x:c r="X317" s="23"/>
      <x:c r="Y317" s="25" t="n">
        <x:v>3.30639608768203</x:v>
      </x:c>
      <x:c r="Z317" s="23" t="str">
        <x:v>benchmark/preprocessing_training/dim_600/savgol/msms_neg/seed_41/xgboost/neg_msms/original/metrics.json</x:v>
      </x:c>
    </x:row>
    <x:row r="318">
      <x:c r="A318" s="23" t="str">
        <x:v>savgol</x:v>
      </x:c>
      <x:c r="B318" s="23" t="str">
        <x:v>msms_pos</x:v>
      </x:c>
      <x:c r="C318" s="23" t="str">
        <x:v>cnn</x:v>
      </x:c>
      <x:c r="D318" s="23" t="n">
        <x:v>41</x:v>
      </x:c>
      <x:c r="E318" s="23" t="n">
        <x:v>600</x:v>
      </x:c>
      <x:c r="F318" s="23" t="n">
        <x:v>635496</x:v>
      </x:c>
      <x:c r="G318" s="23" t="n">
        <x:v>79450</x:v>
      </x:c>
      <x:c r="H318" s="23" t="n">
        <x:v>79457</x:v>
      </x:c>
      <x:c r="I318" s="24" t="n">
        <x:v>0.6394353630946691</x:v>
      </x:c>
      <x:c r="J318" s="24" t="n">
        <x:v>0.11211244538110128</x:v>
      </x:c>
      <x:c r="K318" s="24" t="n">
        <x:v>0.3757739042378852</x:v>
      </x:c>
      <x:c r="L318" s="24" t="n">
        <x:v>0.1960149109363556</x:v>
      </x:c>
      <x:c r="M318" s="24" t="n">
        <x:v>0.6389326087268518</x:v>
      </x:c>
      <x:c r="N318" s="24" t="n">
        <x:v>0.11212997210367805</x:v>
      </x:c>
      <x:c r="O318" s="24" t="n">
        <x:v>0.3755312904152649</x:v>
      </x:c>
      <x:c r="P318" s="24"/>
      <x:c r="Q318" s="24"/>
      <x:c r="R318" s="24"/>
      <x:c r="S318" s="24"/>
      <x:c r="T318" s="24"/>
      <x:c r="U318" s="24"/>
      <x:c r="V318" s="24"/>
      <x:c r="W318" s="23" t="n">
        <x:v>17</x:v>
      </x:c>
      <x:c r="X318" s="23" t="n">
        <x:v>34</x:v>
      </x:c>
      <x:c r="Y318" s="25" t="n">
        <x:v>25.883563614601734</x:v>
      </x:c>
      <x:c r="Z318" s="23" t="str">
        <x:v>benchmark/preprocessing_training/dim_600/savgol/msms_pos/seed_41/cnn/pos_msms/original/metrics.json</x:v>
      </x:c>
    </x:row>
    <x:row r="319">
      <x:c r="A319" s="23" t="str">
        <x:v>savgol</x:v>
      </x:c>
      <x:c r="B319" s="23" t="str">
        <x:v>msms_pos</x:v>
      </x:c>
      <x:c r="C319" s="23" t="str">
        <x:v>mps</x:v>
      </x:c>
      <x:c r="D319" s="23" t="n">
        <x:v>41</x:v>
      </x:c>
      <x:c r="E319" s="23" t="n">
        <x:v>600</x:v>
      </x:c>
      <x:c r="F319" s="23"/>
      <x:c r="G319" s="23"/>
      <x:c r="H319" s="23"/>
      <x:c r="I319" s="24" t="n">
        <x:v>0.2984</x:v>
      </x:c>
      <x:c r="J319" s="24" t="n">
        <x:v>0.1744</x:v>
      </x:c>
      <x:c r="K319" s="24" t="n">
        <x:v>0.2364</x:v>
      </x:c>
      <x:c r="L319" s="24" t="n">
        <x:v>2.321</x:v>
      </x:c>
      <x:c r="M319" s="24" t="n">
        <x:v>0.29752169946850643</x:v>
      </x:c>
      <x:c r="N319" s="24" t="n">
        <x:v>0.17443385186378904</x:v>
      </x:c>
      <x:c r="O319" s="24" t="n">
        <x:v>0.23597777566614775</x:v>
      </x:c>
      <x:c r="P319" s="24" t="n">
        <x:v>1.8606</x:v>
      </x:c>
      <x:c r="Q319" s="24" t="n">
        <x:v>0</x:v>
      </x:c>
      <x:c r="R319" s="24" t="n">
        <x:v>0.54</x:v>
      </x:c>
      <x:c r="S319" s="24" t="n">
        <x:v>0.2008</x:v>
      </x:c>
      <x:c r="T319" s="24" t="n">
        <x:v>0.158</x:v>
      </x:c>
      <x:c r="U319" s="24" t="n">
        <x:v>0.5739</x:v>
      </x:c>
      <x:c r="V319" s="24" t="n">
        <x:v>0.5272</x:v>
      </x:c>
      <x:c r="W319" s="23" t="n">
        <x:v>126</x:v>
      </x:c>
      <x:c r="X319" s="23" t="n">
        <x:v>146</x:v>
      </x:c>
      <x:c r="Y319" s="25" t="n">
        <x:v>100.8</x:v>
      </x:c>
      <x:c r="Z319" s="23" t="str">
        <x:v>benchmark/preprocessing_training/dim_600/savgol/msms_pos/seed_41/mps/results/metrics.json</x:v>
      </x:c>
    </x:row>
    <x:row r="320">
      <x:c r="A320" s="23" t="str">
        <x:v>savgol</x:v>
      </x:c>
      <x:c r="B320" s="23" t="str">
        <x:v>msms_pos</x:v>
      </x:c>
      <x:c r="C320" s="23" t="str">
        <x:v>ttn</x:v>
      </x:c>
      <x:c r="D320" s="23" t="n">
        <x:v>41</x:v>
      </x:c>
      <x:c r="E320" s="23" t="n">
        <x:v>600</x:v>
      </x:c>
      <x:c r="F320" s="23"/>
      <x:c r="G320" s="23"/>
      <x:c r="H320" s="23"/>
      <x:c r="I320" s="24" t="n">
        <x:v>0.6521876289834609</x:v>
      </x:c>
      <x:c r="J320" s="24" t="n">
        <x:v>0.15003466081233666</x:v>
      </x:c>
      <x:c r="K320" s="24" t="n">
        <x:v>0.4011111448978988</x:v>
      </x:c>
      <x:c r="L320" s="24" t="n">
        <x:v>0.403211</x:v>
      </x:c>
      <x:c r="M320" s="24" t="n">
        <x:v>0.6519222721642088</x:v>
      </x:c>
      <x:c r="N320" s="24" t="n">
        <x:v>0.14959936267522567</x:v>
      </x:c>
      <x:c r="O320" s="24" t="n">
        <x:v>0.40076081741971725</x:v>
      </x:c>
      <x:c r="P320" s="24" t="n">
        <x:v>0.403877</x:v>
      </x:c>
      <x:c r="Q320" s="24"/>
      <x:c r="R320" s="24"/>
      <x:c r="S320" s="24" t="n">
        <x:v>0.690306</x:v>
      </x:c>
      <x:c r="T320" s="24"/>
      <x:c r="U320" s="24" t="n">
        <x:v>0.617582</x:v>
      </x:c>
      <x:c r="V320" s="24"/>
      <x:c r="W320" s="23" t="n">
        <x:v>10</x:v>
      </x:c>
      <x:c r="X320" s="23" t="n">
        <x:v>89</x:v>
      </x:c>
      <x:c r="Y320" s="25" t="n">
        <x:v>25.675666666666665</x:v>
      </x:c>
      <x:c r="Z320" s="23" t="str">
        <x:v>benchmark/preprocessing_training/dim_600/savgol/msms_pos/seed_41/ttn/metrics.json</x:v>
      </x:c>
    </x:row>
    <x:row r="321">
      <x:c r="A321" s="23" t="str">
        <x:v>savgol</x:v>
      </x:c>
      <x:c r="B321" s="23" t="str">
        <x:v>msms_pos</x:v>
      </x:c>
      <x:c r="C321" s="23" t="str">
        <x:v>xgboost</x:v>
      </x:c>
      <x:c r="D321" s="23" t="n">
        <x:v>41</x:v>
      </x:c>
      <x:c r="E321" s="23" t="n">
        <x:v>600</x:v>
      </x:c>
      <x:c r="F321" s="23" t="n">
        <x:v>635496</x:v>
      </x:c>
      <x:c r="G321" s="23" t="n">
        <x:v>79450</x:v>
      </x:c>
      <x:c r="H321" s="23" t="n">
        <x:v>79457</x:v>
      </x:c>
      <x:c r="I321" s="24" t="n">
        <x:v>0.6414998381071967</x:v>
      </x:c>
      <x:c r="J321" s="24" t="n">
        <x:v>0.10986656619838277</x:v>
      </x:c>
      <x:c r="K321" s="24" t="n">
        <x:v>0.3756832021527897</x:v>
      </x:c>
      <x:c r="L321" s="24"/>
      <x:c r="M321" s="24" t="n">
        <x:v>0.6406195892280276</x:v>
      </x:c>
      <x:c r="N321" s="24" t="n">
        <x:v>0.11054725271626462</x:v>
      </x:c>
      <x:c r="O321" s="24" t="n">
        <x:v>0.37558342097214614</x:v>
      </x:c>
      <x:c r="P321" s="24"/>
      <x:c r="Q321" s="24"/>
      <x:c r="R321" s="24"/>
      <x:c r="S321" s="24"/>
      <x:c r="T321" s="24"/>
      <x:c r="U321" s="24"/>
      <x:c r="V321" s="24"/>
      <x:c r="W321" s="23"/>
      <x:c r="X321" s="23"/>
      <x:c r="Y321" s="25" t="n">
        <x:v>3.212421182449907</x:v>
      </x:c>
      <x:c r="Z321" s="23" t="str">
        <x:v>benchmark/preprocessing_training/dim_600/savgol/msms_pos/seed_41/xgboost/pos_msms/original/metrics.json</x:v>
      </x:c>
    </x:row>
    <x:row r="322">
      <x:c r="A322" s="23" t="str">
        <x:v>snv</x:v>
      </x:c>
      <x:c r="B322" s="23" t="str">
        <x:v>cnmr</x:v>
      </x:c>
      <x:c r="C322" s="23" t="str">
        <x:v>cnn</x:v>
      </x:c>
      <x:c r="D322" s="23" t="n">
        <x:v>41</x:v>
      </x:c>
      <x:c r="E322" s="23" t="n">
        <x:v>600</x:v>
      </x:c>
      <x:c r="F322" s="23" t="n">
        <x:v>635496</x:v>
      </x:c>
      <x:c r="G322" s="23" t="n">
        <x:v>79450</x:v>
      </x:c>
      <x:c r="H322" s="23" t="n">
        <x:v>79457</x:v>
      </x:c>
      <x:c r="I322" s="24" t="n">
        <x:v>0.7804645868308285</x:v>
      </x:c>
      <x:c r="J322" s="24" t="n">
        <x:v>0.332562754324753</x:v>
      </x:c>
      <x:c r="K322" s="24" t="n">
        <x:v>0.5565136705777908</x:v>
      </x:c>
      <x:c r="L322" s="24" t="n">
        <x:v>0.13703040778636932</x:v>
      </x:c>
      <x:c r="M322" s="24" t="n">
        <x:v>0.7817700930723029</x:v>
      </x:c>
      <x:c r="N322" s="24" t="n">
        <x:v>0.3362112730423019</x:v>
      </x:c>
      <x:c r="O322" s="24" t="n">
        <x:v>0.5589906830573024</x:v>
      </x:c>
      <x:c r="P322" s="24"/>
      <x:c r="Q322" s="24"/>
      <x:c r="R322" s="24"/>
      <x:c r="S322" s="24"/>
      <x:c r="T322" s="24"/>
      <x:c r="U322" s="24"/>
      <x:c r="V322" s="24"/>
      <x:c r="W322" s="23" t="n">
        <x:v>33</x:v>
      </x:c>
      <x:c r="X322" s="23" t="n">
        <x:v>42</x:v>
      </x:c>
      <x:c r="Y322" s="25" t="n">
        <x:v>33.49108596495013</x:v>
      </x:c>
      <x:c r="Z322" s="23" t="str">
        <x:v>benchmark/preprocessing_training/dim_600/snv/cnmr/seed_41/cnn/cnmr/original/metrics.json</x:v>
      </x:c>
    </x:row>
    <x:row r="323">
      <x:c r="A323" s="23" t="str">
        <x:v>snv</x:v>
      </x:c>
      <x:c r="B323" s="23" t="str">
        <x:v>cnmr</x:v>
      </x:c>
      <x:c r="C323" s="23" t="str">
        <x:v>mps</x:v>
      </x:c>
      <x:c r="D323" s="23" t="n">
        <x:v>41</x:v>
      </x:c>
      <x:c r="E323" s="23" t="n">
        <x:v>600</x:v>
      </x:c>
      <x:c r="F323" s="23"/>
      <x:c r="G323" s="23"/>
      <x:c r="H323" s="23"/>
      <x:c r="I323" s="24" t="n">
        <x:v>0.7126</x:v>
      </x:c>
      <x:c r="J323" s="24" t="n">
        <x:v>0.3786</x:v>
      </x:c>
      <x:c r="K323" s="24" t="n">
        <x:v>0.5456</x:v>
      </x:c>
      <x:c r="L323" s="24" t="n">
        <x:v>10.721</x:v>
      </x:c>
      <x:c r="M323" s="24" t="n">
        <x:v>0.7132578660973895</x:v>
      </x:c>
      <x:c r="N323" s="24" t="n">
        <x:v>0.3697112197611493</x:v>
      </x:c>
      <x:c r="O323" s="24" t="n">
        <x:v>0.5414845429292694</x:v>
      </x:c>
      <x:c r="P323" s="24" t="n">
        <x:v>11.2629</x:v>
      </x:c>
      <x:c r="Q323" s="24" t="n">
        <x:v>0.0872</x:v>
      </x:c>
      <x:c r="R323" s="24" t="n">
        <x:v>0.7262</x:v>
      </x:c>
      <x:c r="S323" s="24" t="n">
        <x:v>0.6871</x:v>
      </x:c>
      <x:c r="T323" s="24" t="n">
        <x:v>0.3634</x:v>
      </x:c>
      <x:c r="U323" s="24" t="n">
        <x:v>0.7415</x:v>
      </x:c>
      <x:c r="V323" s="24" t="n">
        <x:v>0.3837</x:v>
      </x:c>
      <x:c r="W323" s="23" t="n">
        <x:v>173</x:v>
      </x:c>
      <x:c r="X323" s="23" t="n">
        <x:v>174</x:v>
      </x:c>
      <x:c r="Y323" s="25" t="n">
        <x:v>473.7</x:v>
      </x:c>
      <x:c r="Z323" s="23" t="str">
        <x:v>benchmark/preprocessing_training/dim_600/snv/cnmr/seed_41/mps/results/metrics.json</x:v>
      </x:c>
    </x:row>
    <x:row r="324">
      <x:c r="A324" s="23" t="str">
        <x:v>snv</x:v>
      </x:c>
      <x:c r="B324" s="23" t="str">
        <x:v>cnmr</x:v>
      </x:c>
      <x:c r="C324" s="23" t="str">
        <x:v>ttn</x:v>
      </x:c>
      <x:c r="D324" s="23" t="n">
        <x:v>41</x:v>
      </x:c>
      <x:c r="E324" s="23" t="n">
        <x:v>600</x:v>
      </x:c>
      <x:c r="F324" s="23"/>
      <x:c r="G324" s="23"/>
      <x:c r="H324" s="23"/>
      <x:c r="I324" s="24" t="n">
        <x:v>0.7144510880810018</x:v>
      </x:c>
      <x:c r="J324" s="24" t="n">
        <x:v>0.33662826394423995</x:v>
      </x:c>
      <x:c r="K324" s="24" t="n">
        <x:v>0.5255396760126209</x:v>
      </x:c>
      <x:c r="L324" s="24" t="n">
        <x:v>0.34027</x:v>
      </x:c>
      <x:c r="M324" s="24" t="n">
        <x:v>0.7135132446473613</x:v>
      </x:c>
      <x:c r="N324" s="24" t="n">
        <x:v>0.3280616378056144</x:v>
      </x:c>
      <x:c r="O324" s="24" t="n">
        <x:v>0.5207874412264879</x:v>
      </x:c>
      <x:c r="P324" s="24" t="n">
        <x:v>0.339741</x:v>
      </x:c>
      <x:c r="Q324" s="24"/>
      <x:c r="R324" s="24"/>
      <x:c r="S324" s="24" t="n">
        <x:v>0.709155</x:v>
      </x:c>
      <x:c r="T324" s="24"/>
      <x:c r="U324" s="24" t="n">
        <x:v>0.717925</x:v>
      </x:c>
      <x:c r="V324" s="24"/>
      <x:c r="W324" s="23" t="n">
        <x:v>49</x:v>
      </x:c>
      <x:c r="X324" s="23" t="n">
        <x:v>69</x:v>
      </x:c>
      <x:c r="Y324" s="25" t="n">
        <x:v>21.693499999999997</x:v>
      </x:c>
      <x:c r="Z324" s="23" t="str">
        <x:v>benchmark/preprocessing_training/dim_600/snv/cnmr/seed_41/ttn/metrics.json</x:v>
      </x:c>
    </x:row>
    <x:row r="325">
      <x:c r="A325" s="23" t="str">
        <x:v>snv</x:v>
      </x:c>
      <x:c r="B325" s="23" t="str">
        <x:v>cnmr</x:v>
      </x:c>
      <x:c r="C325" s="23" t="str">
        <x:v>xgboost</x:v>
      </x:c>
      <x:c r="D325" s="23" t="n">
        <x:v>41</x:v>
      </x:c>
      <x:c r="E325" s="23" t="n">
        <x:v>600</x:v>
      </x:c>
      <x:c r="F325" s="23" t="n">
        <x:v>635496</x:v>
      </x:c>
      <x:c r="G325" s="23" t="n">
        <x:v>79450</x:v>
      </x:c>
      <x:c r="H325" s="23" t="n">
        <x:v>79457</x:v>
      </x:c>
      <x:c r="I325" s="24" t="n">
        <x:v>0.7326955321634595</x:v>
      </x:c>
      <x:c r="J325" s="24" t="n">
        <x:v>0.2877780534190738</x:v>
      </x:c>
      <x:c r="K325" s="24" t="n">
        <x:v>0.5102367927912667</x:v>
      </x:c>
      <x:c r="L325" s="24"/>
      <x:c r="M325" s="24" t="n">
        <x:v>0.732119183248482</x:v>
      </x:c>
      <x:c r="N325" s="24" t="n">
        <x:v>0.2783907452011209</x:v>
      </x:c>
      <x:c r="O325" s="24" t="n">
        <x:v>0.5052549642248014</x:v>
      </x:c>
      <x:c r="P325" s="24"/>
      <x:c r="Q325" s="24"/>
      <x:c r="R325" s="24"/>
      <x:c r="S325" s="24"/>
      <x:c r="T325" s="24"/>
      <x:c r="U325" s="24"/>
      <x:c r="V325" s="24"/>
      <x:c r="W325" s="23"/>
      <x:c r="X325" s="23"/>
      <x:c r="Y325" s="25" t="n">
        <x:v>6.834663331599828</x:v>
      </x:c>
      <x:c r="Z325" s="23" t="str">
        <x:v>benchmark/preprocessing_training/dim_600/snv/cnmr/seed_41/xgboost/cnmr/original/metrics.json</x:v>
      </x:c>
    </x:row>
    <x:row r="326">
      <x:c r="A326" s="23" t="str">
        <x:v>snv</x:v>
      </x:c>
      <x:c r="B326" s="23" t="str">
        <x:v>hnmr</x:v>
      </x:c>
      <x:c r="C326" s="23" t="str">
        <x:v>cnn</x:v>
      </x:c>
      <x:c r="D326" s="23" t="n">
        <x:v>41</x:v>
      </x:c>
      <x:c r="E326" s="23" t="n">
        <x:v>600</x:v>
      </x:c>
      <x:c r="F326" s="23" t="n">
        <x:v>635496</x:v>
      </x:c>
      <x:c r="G326" s="23" t="n">
        <x:v>79450</x:v>
      </x:c>
      <x:c r="H326" s="23" t="n">
        <x:v>79457</x:v>
      </x:c>
      <x:c r="I326" s="24" t="n">
        <x:v>0.7770474177608566</x:v>
      </x:c>
      <x:c r="J326" s="24" t="n">
        <x:v>0.3337000320678964</x:v>
      </x:c>
      <x:c r="K326" s="24" t="n">
        <x:v>0.5553737249143765</x:v>
      </x:c>
      <x:c r="L326" s="24" t="n">
        <x:v>0.1340664029121399</x:v>
      </x:c>
      <x:c r="M326" s="24" t="n">
        <x:v>0.7774880326765723</x:v>
      </x:c>
      <x:c r="N326" s="24" t="n">
        <x:v>0.33451977596156407</x:v>
      </x:c>
      <x:c r="O326" s="24" t="n">
        <x:v>0.5560039043190682</x:v>
      </x:c>
      <x:c r="P326" s="24"/>
      <x:c r="Q326" s="24"/>
      <x:c r="R326" s="24"/>
      <x:c r="S326" s="24"/>
      <x:c r="T326" s="24"/>
      <x:c r="U326" s="24"/>
      <x:c r="V326" s="24"/>
      <x:c r="W326" s="23" t="n">
        <x:v>16</x:v>
      </x:c>
      <x:c r="X326" s="23" t="n">
        <x:v>36</x:v>
      </x:c>
      <x:c r="Y326" s="25" t="n">
        <x:v>28.55407169036674</x:v>
      </x:c>
      <x:c r="Z326" s="23" t="str">
        <x:v>benchmark/preprocessing_training/dim_600/snv/hnmr/seed_41/cnn/hnmr/original/metrics.json</x:v>
      </x:c>
    </x:row>
    <x:row r="327">
      <x:c r="A327" s="23" t="str">
        <x:v>snv</x:v>
      </x:c>
      <x:c r="B327" s="23" t="str">
        <x:v>hnmr</x:v>
      </x:c>
      <x:c r="C327" s="23" t="str">
        <x:v>mps</x:v>
      </x:c>
      <x:c r="D327" s="23" t="n">
        <x:v>41</x:v>
      </x:c>
      <x:c r="E327" s="23" t="n">
        <x:v>600</x:v>
      </x:c>
      <x:c r="F327" s="23"/>
      <x:c r="G327" s="23"/>
      <x:c r="H327" s="23"/>
      <x:c r="I327" s="24" t="n">
        <x:v>0.713</x:v>
      </x:c>
      <x:c r="J327" s="24" t="n">
        <x:v>0.383</x:v>
      </x:c>
      <x:c r="K327" s="24" t="n">
        <x:v>0.548</x:v>
      </x:c>
      <x:c r="L327" s="24" t="n">
        <x:v>10.8137</x:v>
      </x:c>
      <x:c r="M327" s="24" t="n">
        <x:v>0.712327041053386</x:v>
      </x:c>
      <x:c r="N327" s="24" t="n">
        <x:v>0.37973618729859676</x:v>
      </x:c>
      <x:c r="O327" s="24" t="n">
        <x:v>0.5460316141759913</x:v>
      </x:c>
      <x:c r="P327" s="24" t="n">
        <x:v>11.3762</x:v>
      </x:c>
      <x:c r="Q327" s="24" t="n">
        <x:v>0.0898</x:v>
      </x:c>
      <x:c r="R327" s="24" t="n">
        <x:v>0.7152</x:v>
      </x:c>
      <x:c r="S327" s="24" t="n">
        <x:v>0.7099</x:v>
      </x:c>
      <x:c r="T327" s="24" t="n">
        <x:v>0.4244</x:v>
      </x:c>
      <x:c r="U327" s="24" t="n">
        <x:v>0.7148</x:v>
      </x:c>
      <x:c r="V327" s="24" t="n">
        <x:v>0.3566</x:v>
      </x:c>
      <x:c r="W327" s="23" t="n">
        <x:v>173</x:v>
      </x:c>
      <x:c r="X327" s="23" t="n">
        <x:v>178</x:v>
      </x:c>
      <x:c r="Y327" s="25" t="n">
        <x:v>206.8</x:v>
      </x:c>
      <x:c r="Z327" s="23" t="str">
        <x:v>benchmark/preprocessing_training/dim_600/snv/hnmr/seed_41/mps/results/metrics.json</x:v>
      </x:c>
    </x:row>
    <x:row r="328">
      <x:c r="A328" s="23" t="str">
        <x:v>snv</x:v>
      </x:c>
      <x:c r="B328" s="23" t="str">
        <x:v>hnmr</x:v>
      </x:c>
      <x:c r="C328" s="23" t="str">
        <x:v>ttn</x:v>
      </x:c>
      <x:c r="D328" s="23" t="n">
        <x:v>41</x:v>
      </x:c>
      <x:c r="E328" s="23" t="n">
        <x:v>600</x:v>
      </x:c>
      <x:c r="F328" s="23"/>
      <x:c r="G328" s="23"/>
      <x:c r="H328" s="23"/>
      <x:c r="I328" s="24" t="n">
        <x:v>0.6955518959076463</x:v>
      </x:c>
      <x:c r="J328" s="24" t="n">
        <x:v>0.3019081697473338</x:v>
      </x:c>
      <x:c r="K328" s="24" t="n">
        <x:v>0.49873003282749007</x:v>
      </x:c>
      <x:c r="L328" s="24" t="n">
        <x:v>0.33836</x:v>
      </x:c>
      <x:c r="M328" s="24" t="n">
        <x:v>0.6960741655290196</x:v>
      </x:c>
      <x:c r="N328" s="24" t="n">
        <x:v>0.29769516133182367</x:v>
      </x:c>
      <x:c r="O328" s="24" t="n">
        <x:v>0.4968846634304216</x:v>
      </x:c>
      <x:c r="P328" s="24" t="n">
        <x:v>0.337639</x:v>
      </x:c>
      <x:c r="Q328" s="24"/>
      <x:c r="R328" s="24"/>
      <x:c r="S328" s="24" t="n">
        <x:v>0.719392</x:v>
      </x:c>
      <x:c r="T328" s="24"/>
      <x:c r="U328" s="24" t="n">
        <x:v>0.67422</x:v>
      </x:c>
      <x:c r="V328" s="24"/>
      <x:c r="W328" s="23" t="n">
        <x:v>18</x:v>
      </x:c>
      <x:c r="X328" s="23" t="n">
        <x:v>61</x:v>
      </x:c>
      <x:c r="Y328" s="25" t="n">
        <x:v>19.156333333333336</x:v>
      </x:c>
      <x:c r="Z328" s="23" t="str">
        <x:v>benchmark/preprocessing_training/dim_600/snv/hnmr/seed_41/ttn/metrics.json</x:v>
      </x:c>
    </x:row>
    <x:row r="329">
      <x:c r="A329" s="23" t="str">
        <x:v>snv</x:v>
      </x:c>
      <x:c r="B329" s="23" t="str">
        <x:v>hnmr</x:v>
      </x:c>
      <x:c r="C329" s="23" t="str">
        <x:v>xgboost</x:v>
      </x:c>
      <x:c r="D329" s="23" t="n">
        <x:v>41</x:v>
      </x:c>
      <x:c r="E329" s="23" t="n">
        <x:v>600</x:v>
      </x:c>
      <x:c r="F329" s="23" t="n">
        <x:v>635496</x:v>
      </x:c>
      <x:c r="G329" s="23" t="n">
        <x:v>79450</x:v>
      </x:c>
      <x:c r="H329" s="23" t="n">
        <x:v>79457</x:v>
      </x:c>
      <x:c r="I329" s="24" t="n">
        <x:v>0.7240968247547003</x:v>
      </x:c>
      <x:c r="J329" s="24" t="n">
        <x:v>0.29303203559824953</x:v>
      </x:c>
      <x:c r="K329" s="24" t="n">
        <x:v>0.5085644301764749</x:v>
      </x:c>
      <x:c r="L329" s="24"/>
      <x:c r="M329" s="24" t="n">
        <x:v>0.7249646002868876</x:v>
      </x:c>
      <x:c r="N329" s="24" t="n">
        <x:v>0.28077070892884676</x:v>
      </x:c>
      <x:c r="O329" s="24" t="n">
        <x:v>0.5028676546078672</x:v>
      </x:c>
      <x:c r="P329" s="24"/>
      <x:c r="Q329" s="24"/>
      <x:c r="R329" s="24"/>
      <x:c r="S329" s="24"/>
      <x:c r="T329" s="24"/>
      <x:c r="U329" s="24"/>
      <x:c r="V329" s="24"/>
      <x:c r="W329" s="23"/>
      <x:c r="X329" s="23"/>
      <x:c r="Y329" s="25" t="n">
        <x:v>7.243941816616765</x:v>
      </x:c>
      <x:c r="Z329" s="23" t="str">
        <x:v>benchmark/preprocessing_training/dim_600/snv/hnmr/seed_41/xgboost/hnmr/original/metrics.json</x:v>
      </x:c>
    </x:row>
    <x:row r="330">
      <x:c r="A330" s="23" t="str">
        <x:v>snv</x:v>
      </x:c>
      <x:c r="B330" s="23" t="str">
        <x:v>ir</x:v>
      </x:c>
      <x:c r="C330" s="23" t="str">
        <x:v>cnn</x:v>
      </x:c>
      <x:c r="D330" s="23" t="n">
        <x:v>41</x:v>
      </x:c>
      <x:c r="E330" s="23" t="n">
        <x:v>600</x:v>
      </x:c>
      <x:c r="F330" s="23" t="n">
        <x:v>635496</x:v>
      </x:c>
      <x:c r="G330" s="23" t="n">
        <x:v>79450</x:v>
      </x:c>
      <x:c r="H330" s="23" t="n">
        <x:v>79457</x:v>
      </x:c>
      <x:c r="I330" s="24" t="n">
        <x:v>0.8945319301758663</x:v>
      </x:c>
      <x:c r="J330" s="24" t="n">
        <x:v>0.6804990793510706</x:v>
      </x:c>
      <x:c r="K330" s="24" t="n">
        <x:v>0.7875155047634684</x:v>
      </x:c>
      <x:c r="L330" s="24" t="n">
        <x:v>0.07117290794849396</x:v>
      </x:c>
      <x:c r="M330" s="24" t="n">
        <x:v>0.8952178573955063</x:v>
      </x:c>
      <x:c r="N330" s="24" t="n">
        <x:v>0.6896173987359056</x:v>
      </x:c>
      <x:c r="O330" s="24" t="n">
        <x:v>0.7924176280657059</x:v>
      </x:c>
      <x:c r="P330" s="24"/>
      <x:c r="Q330" s="24"/>
      <x:c r="R330" s="24"/>
      <x:c r="S330" s="24"/>
      <x:c r="T330" s="24"/>
      <x:c r="U330" s="24"/>
      <x:c r="V330" s="24"/>
      <x:c r="W330" s="23" t="n">
        <x:v>43</x:v>
      </x:c>
      <x:c r="X330" s="23" t="n">
        <x:v>52</x:v>
      </x:c>
      <x:c r="Y330" s="25" t="n">
        <x:v>40.44190797543318</x:v>
      </x:c>
      <x:c r="Z330" s="23" t="str">
        <x:v>benchmark/preprocessing_training/dim_600/snv/ir/seed_41/cnn/ir/original/metrics.json</x:v>
      </x:c>
    </x:row>
    <x:row r="331">
      <x:c r="A331" s="23" t="str">
        <x:v>snv</x:v>
      </x:c>
      <x:c r="B331" s="23" t="str">
        <x:v>ir</x:v>
      </x:c>
      <x:c r="C331" s="23" t="str">
        <x:v>mps</x:v>
      </x:c>
      <x:c r="D331" s="23" t="n">
        <x:v>41</x:v>
      </x:c>
      <x:c r="E331" s="23" t="n">
        <x:v>600</x:v>
      </x:c>
      <x:c r="F331" s="23"/>
      <x:c r="G331" s="23"/>
      <x:c r="H331" s="23"/>
      <x:c r="I331" s="24" t="n">
        <x:v>0.8392</x:v>
      </x:c>
      <x:c r="J331" s="24" t="n">
        <x:v>0.6692</x:v>
      </x:c>
      <x:c r="K331" s="24" t="n">
        <x:v>0.7542</x:v>
      </x:c>
      <x:c r="L331" s="24" t="n">
        <x:v>4.3722</x:v>
      </x:c>
      <x:c r="M331" s="24" t="n">
        <x:v>0.8387052838746144</x:v>
      </x:c>
      <x:c r="N331" s="24" t="n">
        <x:v>0.6636656204984565</x:v>
      </x:c>
      <x:c r="O331" s="24" t="n">
        <x:v>0.7511854521865354</x:v>
      </x:c>
      <x:c r="P331" s="24" t="n">
        <x:v>4.0395</x:v>
      </x:c>
      <x:c r="Q331" s="24" t="n">
        <x:v>0.2476</x:v>
      </x:c>
      <x:c r="R331" s="24" t="n">
        <x:v>0.8373</x:v>
      </x:c>
      <x:c r="S331" s="24" t="n">
        <x:v>0.8683</x:v>
      </x:c>
      <x:c r="T331" s="24" t="n">
        <x:v>0.7284</x:v>
      </x:c>
      <x:c r="U331" s="24" t="n">
        <x:v>0.811</x:v>
      </x:c>
      <x:c r="V331" s="24" t="n">
        <x:v>0.6272</x:v>
      </x:c>
      <x:c r="W331" s="23" t="n">
        <x:v>139</x:v>
      </x:c>
      <x:c r="X331" s="23" t="n">
        <x:v>140</x:v>
      </x:c>
      <x:c r="Y331" s="25" t="n">
        <x:v>162.3</x:v>
      </x:c>
      <x:c r="Z331" s="23" t="str">
        <x:v>benchmark/preprocessing_training/dim_600/snv/ir/seed_41/mps/results/metrics.json</x:v>
      </x:c>
    </x:row>
    <x:row r="332">
      <x:c r="A332" s="23" t="str">
        <x:v>snv</x:v>
      </x:c>
      <x:c r="B332" s="23" t="str">
        <x:v>ir</x:v>
      </x:c>
      <x:c r="C332" s="23" t="str">
        <x:v>ttn</x:v>
      </x:c>
      <x:c r="D332" s="23" t="n">
        <x:v>41</x:v>
      </x:c>
      <x:c r="E332" s="23" t="n">
        <x:v>600</x:v>
      </x:c>
      <x:c r="F332" s="23"/>
      <x:c r="G332" s="23"/>
      <x:c r="H332" s="23"/>
      <x:c r="I332" s="24" t="n">
        <x:v>0.8283279791350506</x:v>
      </x:c>
      <x:c r="J332" s="24" t="n">
        <x:v>0.592494545781764</x:v>
      </x:c>
      <x:c r="K332" s="24" t="n">
        <x:v>0.7104112624584074</x:v>
      </x:c>
      <x:c r="L332" s="24" t="n">
        <x:v>0.192397</x:v>
      </x:c>
      <x:c r="M332" s="24" t="n">
        <x:v>0.8285503351120149</x:v>
      </x:c>
      <x:c r="N332" s="24" t="n">
        <x:v>0.58551400056378</x:v>
      </x:c>
      <x:c r="O332" s="24" t="n">
        <x:v>0.7070321678378975</x:v>
      </x:c>
      <x:c r="P332" s="24" t="n">
        <x:v>0.191521</x:v>
      </x:c>
      <x:c r="Q332" s="24"/>
      <x:c r="R332" s="24"/>
      <x:c r="S332" s="24" t="n">
        <x:v>0.826418</x:v>
      </x:c>
      <x:c r="T332" s="24"/>
      <x:c r="U332" s="24" t="n">
        <x:v>0.830694</x:v>
      </x:c>
      <x:c r="V332" s="24"/>
      <x:c r="W332" s="23" t="n">
        <x:v>51</x:v>
      </x:c>
      <x:c r="X332" s="23" t="n">
        <x:v>71</x:v>
      </x:c>
      <x:c r="Y332" s="25" t="n">
        <x:v>22.4115</x:v>
      </x:c>
      <x:c r="Z332" s="23" t="str">
        <x:v>benchmark/preprocessing_training/dim_600/snv/ir/seed_41/ttn/metrics.json</x:v>
      </x:c>
    </x:row>
    <x:row r="333">
      <x:c r="A333" s="23" t="str">
        <x:v>snv</x:v>
      </x:c>
      <x:c r="B333" s="23" t="str">
        <x:v>ir</x:v>
      </x:c>
      <x:c r="C333" s="23" t="str">
        <x:v>xgboost</x:v>
      </x:c>
      <x:c r="D333" s="23" t="n">
        <x:v>41</x:v>
      </x:c>
      <x:c r="E333" s="23" t="n">
        <x:v>600</x:v>
      </x:c>
      <x:c r="F333" s="23" t="n">
        <x:v>635496</x:v>
      </x:c>
      <x:c r="G333" s="23" t="n">
        <x:v>79450</x:v>
      </x:c>
      <x:c r="H333" s="23" t="n">
        <x:v>79457</x:v>
      </x:c>
      <x:c r="I333" s="24" t="n">
        <x:v>0.8398048065273414</x:v>
      </x:c>
      <x:c r="J333" s="24" t="n">
        <x:v>0.5653497534081584</x:v>
      </x:c>
      <x:c r="K333" s="24" t="n">
        <x:v>0.7025772799677499</x:v>
      </x:c>
      <x:c r="L333" s="24"/>
      <x:c r="M333" s="24" t="n">
        <x:v>0.8405753314674086</x:v>
      </x:c>
      <x:c r="N333" s="24" t="n">
        <x:v>0.55531006475522</x:v>
      </x:c>
      <x:c r="O333" s="24" t="n">
        <x:v>0.6979426981113144</x:v>
      </x:c>
      <x:c r="P333" s="24"/>
      <x:c r="Q333" s="24"/>
      <x:c r="R333" s="24"/>
      <x:c r="S333" s="24"/>
      <x:c r="T333" s="24"/>
      <x:c r="U333" s="24"/>
      <x:c r="V333" s="24"/>
      <x:c r="W333" s="23"/>
      <x:c r="X333" s="23"/>
      <x:c r="Y333" s="25" t="n">
        <x:v>8.358057012833402</x:v>
      </x:c>
      <x:c r="Z333" s="23" t="str">
        <x:v>benchmark/preprocessing_training/dim_600/snv/ir/seed_41/xgboost/ir/original/metrics.json</x:v>
      </x:c>
    </x:row>
    <x:row r="334">
      <x:c r="A334" s="23" t="str">
        <x:v>snv</x:v>
      </x:c>
      <x:c r="B334" s="23" t="str">
        <x:v>msms_neg</x:v>
      </x:c>
      <x:c r="C334" s="23" t="str">
        <x:v>cnn</x:v>
      </x:c>
      <x:c r="D334" s="23" t="n">
        <x:v>41</x:v>
      </x:c>
      <x:c r="E334" s="23" t="n">
        <x:v>600</x:v>
      </x:c>
      <x:c r="F334" s="23" t="n">
        <x:v>635496</x:v>
      </x:c>
      <x:c r="G334" s="23" t="n">
        <x:v>79450</x:v>
      </x:c>
      <x:c r="H334" s="23" t="n">
        <x:v>79457</x:v>
      </x:c>
      <x:c r="I334" s="24" t="n">
        <x:v>0.6426195973807723</x:v>
      </x:c>
      <x:c r="J334" s="24" t="n">
        <x:v>0.11768905360717688</x:v>
      </x:c>
      <x:c r="K334" s="24" t="n">
        <x:v>0.3801543254939746</x:v>
      </x:c>
      <x:c r="L334" s="24" t="n">
        <x:v>0.19659987092018127</x:v>
      </x:c>
      <x:c r="M334" s="24" t="n">
        <x:v>0.6425733387995154</x:v>
      </x:c>
      <x:c r="N334" s="24" t="n">
        <x:v>0.11728827140633334</x:v>
      </x:c>
      <x:c r="O334" s="24" t="n">
        <x:v>0.3799308051029244</x:v>
      </x:c>
      <x:c r="P334" s="24"/>
      <x:c r="Q334" s="24"/>
      <x:c r="R334" s="24"/>
      <x:c r="S334" s="24"/>
      <x:c r="T334" s="24"/>
      <x:c r="U334" s="24"/>
      <x:c r="V334" s="24"/>
      <x:c r="W334" s="23" t="n">
        <x:v>14</x:v>
      </x:c>
      <x:c r="X334" s="23" t="n">
        <x:v>32</x:v>
      </x:c>
      <x:c r="Y334" s="25" t="n">
        <x:v>24.99143018241642</x:v>
      </x:c>
      <x:c r="Z334" s="23" t="str">
        <x:v>benchmark/preprocessing_training/dim_600/snv/msms_neg/seed_41/cnn/neg_msms/original/metrics.json</x:v>
      </x:c>
    </x:row>
    <x:row r="335">
      <x:c r="A335" s="23" t="str">
        <x:v>snv</x:v>
      </x:c>
      <x:c r="B335" s="23" t="str">
        <x:v>msms_neg</x:v>
      </x:c>
      <x:c r="C335" s="23" t="str">
        <x:v>mps</x:v>
      </x:c>
      <x:c r="D335" s="23" t="n">
        <x:v>41</x:v>
      </x:c>
      <x:c r="E335" s="23" t="n">
        <x:v>600</x:v>
      </x:c>
      <x:c r="F335" s="23"/>
      <x:c r="G335" s="23"/>
      <x:c r="H335" s="23"/>
      <x:c r="I335" s="24" t="n">
        <x:v>0.3008</x:v>
      </x:c>
      <x:c r="J335" s="24" t="n">
        <x:v>0.1672</x:v>
      </x:c>
      <x:c r="K335" s="24" t="n">
        <x:v>0.23399999999999999</x:v>
      </x:c>
      <x:c r="L335" s="24" t="n">
        <x:v>1.2018</x:v>
      </x:c>
      <x:c r="M335" s="24" t="n">
        <x:v>0.3000396701747547</x:v>
      </x:c>
      <x:c r="N335" s="24" t="n">
        <x:v>0.16693659673123193</x:v>
      </x:c>
      <x:c r="O335" s="24" t="n">
        <x:v>0.2334881334529933</x:v>
      </x:c>
      <x:c r="P335" s="24" t="n">
        <x:v>1.2208</x:v>
      </x:c>
      <x:c r="Q335" s="24" t="n">
        <x:v>0</x:v>
      </x:c>
      <x:c r="R335" s="24" t="n">
        <x:v>0.5406</x:v>
      </x:c>
      <x:c r="S335" s="24" t="n">
        <x:v>0.2029</x:v>
      </x:c>
      <x:c r="T335" s="24" t="n">
        <x:v>0.1537</x:v>
      </x:c>
      <x:c r="U335" s="24" t="n">
        <x:v>0.5758</x:v>
      </x:c>
      <x:c r="V335" s="24" t="n">
        <x:v>0.4965</x:v>
      </x:c>
      <x:c r="W335" s="23" t="n">
        <x:v>1</x:v>
      </x:c>
      <x:c r="X335" s="23" t="n">
        <x:v>21</x:v>
      </x:c>
      <x:c r="Y335" s="25" t="n">
        <x:v>25</x:v>
      </x:c>
      <x:c r="Z335" s="23" t="str">
        <x:v>benchmark/preprocessing_training/dim_600/snv/msms_neg/seed_41/mps/results/metrics.json</x:v>
      </x:c>
    </x:row>
    <x:row r="336">
      <x:c r="A336" s="23" t="str">
        <x:v>snv</x:v>
      </x:c>
      <x:c r="B336" s="23" t="str">
        <x:v>msms_neg</x:v>
      </x:c>
      <x:c r="C336" s="23" t="str">
        <x:v>ttn</x:v>
      </x:c>
      <x:c r="D336" s="23" t="n">
        <x:v>41</x:v>
      </x:c>
      <x:c r="E336" s="23" t="n">
        <x:v>600</x:v>
      </x:c>
      <x:c r="F336" s="23"/>
      <x:c r="G336" s="23"/>
      <x:c r="H336" s="23"/>
      <x:c r="I336" s="24" t="n">
        <x:v>0.6396578921134574</x:v>
      </x:c>
      <x:c r="J336" s="24" t="n">
        <x:v>0.15397647222036945</x:v>
      </x:c>
      <x:c r="K336" s="24" t="n">
        <x:v>0.3968171821669134</x:v>
      </x:c>
      <x:c r="L336" s="24" t="n">
        <x:v>0.402667</x:v>
      </x:c>
      <x:c r="M336" s="24" t="n">
        <x:v>0.6394432126139443</x:v>
      </x:c>
      <x:c r="N336" s="24" t="n">
        <x:v>0.15349084582231615</x:v>
      </x:c>
      <x:c r="O336" s="24" t="n">
        <x:v>0.39646702921813026</x:v>
      </x:c>
      <x:c r="P336" s="24" t="n">
        <x:v>0.403534</x:v>
      </x:c>
      <x:c r="Q336" s="24"/>
      <x:c r="R336" s="24"/>
      <x:c r="S336" s="24" t="n">
        <x:v>0.72127</x:v>
      </x:c>
      <x:c r="T336" s="24"/>
      <x:c r="U336" s="24" t="n">
        <x:v>0.574291</x:v>
      </x:c>
      <x:c r="V336" s="24"/>
      <x:c r="W336" s="23" t="n">
        <x:v>60</x:v>
      </x:c>
      <x:c r="X336" s="23" t="n">
        <x:v>80</x:v>
      </x:c>
      <x:c r="Y336" s="25" t="n">
        <x:v>24.584666666666667</x:v>
      </x:c>
      <x:c r="Z336" s="23" t="str">
        <x:v>benchmark/preprocessing_training/dim_600/snv/msms_neg/seed_41/ttn/metrics.json</x:v>
      </x:c>
    </x:row>
    <x:row r="337">
      <x:c r="A337" s="23" t="str">
        <x:v>snv</x:v>
      </x:c>
      <x:c r="B337" s="23" t="str">
        <x:v>msms_neg</x:v>
      </x:c>
      <x:c r="C337" s="23" t="str">
        <x:v>xgboost</x:v>
      </x:c>
      <x:c r="D337" s="23" t="n">
        <x:v>41</x:v>
      </x:c>
      <x:c r="E337" s="23" t="n">
        <x:v>600</x:v>
      </x:c>
      <x:c r="F337" s="23" t="n">
        <x:v>635496</x:v>
      </x:c>
      <x:c r="G337" s="23" t="n">
        <x:v>79450</x:v>
      </x:c>
      <x:c r="H337" s="23" t="n">
        <x:v>79457</x:v>
      </x:c>
      <x:c r="I337" s="24" t="n">
        <x:v>0.6365857697075114</x:v>
      </x:c>
      <x:c r="J337" s="24" t="n">
        <x:v>0.11221515544990693</x:v>
      </x:c>
      <x:c r="K337" s="24" t="n">
        <x:v>0.3744004625787091</x:v>
      </x:c>
      <x:c r="L337" s="24"/>
      <x:c r="M337" s="24" t="n">
        <x:v>0.636434971158653</x:v>
      </x:c>
      <x:c r="N337" s="24" t="n">
        <x:v>0.11216520337306926</x:v>
      </x:c>
      <x:c r="O337" s="24" t="n">
        <x:v>0.3743000872658611</x:v>
      </x:c>
      <x:c r="P337" s="24"/>
      <x:c r="Q337" s="24"/>
      <x:c r="R337" s="24"/>
      <x:c r="S337" s="24"/>
      <x:c r="T337" s="24"/>
      <x:c r="U337" s="24"/>
      <x:c r="V337" s="24"/>
      <x:c r="W337" s="23"/>
      <x:c r="X337" s="23"/>
      <x:c r="Y337" s="25" t="n">
        <x:v>5.35935634230021</x:v>
      </x:c>
      <x:c r="Z337" s="23" t="str">
        <x:v>benchmark/preprocessing_training/dim_600/snv/msms_neg/seed_41/xgboost/neg_msms/original/metrics.json</x:v>
      </x:c>
    </x:row>
    <x:row r="338">
      <x:c r="A338" s="23" t="str">
        <x:v>snv</x:v>
      </x:c>
      <x:c r="B338" s="23" t="str">
        <x:v>msms_pos</x:v>
      </x:c>
      <x:c r="C338" s="23" t="str">
        <x:v>cnn</x:v>
      </x:c>
      <x:c r="D338" s="23" t="n">
        <x:v>41</x:v>
      </x:c>
      <x:c r="E338" s="23" t="n">
        <x:v>600</x:v>
      </x:c>
      <x:c r="F338" s="23" t="n">
        <x:v>635496</x:v>
      </x:c>
      <x:c r="G338" s="23" t="n">
        <x:v>79450</x:v>
      </x:c>
      <x:c r="H338" s="23" t="n">
        <x:v>79457</x:v>
      </x:c>
      <x:c r="I338" s="24" t="n">
        <x:v>0.6389076378524144</x:v>
      </x:c>
      <x:c r="J338" s="24" t="n">
        <x:v>0.10686853512374536</x:v>
      </x:c>
      <x:c r="K338" s="24" t="n">
        <x:v>0.3728880864880799</x:v>
      </x:c>
      <x:c r="L338" s="24" t="n">
        <x:v>0.1984003782272339</x:v>
      </x:c>
      <x:c r="M338" s="24" t="n">
        <x:v>0.6384382593469061</x:v>
      </x:c>
      <x:c r="N338" s="24" t="n">
        <x:v>0.10678298828313562</x:v>
      </x:c>
      <x:c r="O338" s="24" t="n">
        <x:v>0.37261062381502086</x:v>
      </x:c>
      <x:c r="P338" s="24"/>
      <x:c r="Q338" s="24"/>
      <x:c r="R338" s="24"/>
      <x:c r="S338" s="24"/>
      <x:c r="T338" s="24"/>
      <x:c r="U338" s="24"/>
      <x:c r="V338" s="24"/>
      <x:c r="W338" s="23" t="n">
        <x:v>17</x:v>
      </x:c>
      <x:c r="X338" s="23" t="n">
        <x:v>29</x:v>
      </x:c>
      <x:c r="Y338" s="25" t="n">
        <x:v>23.00992027488343</x:v>
      </x:c>
      <x:c r="Z338" s="23" t="str">
        <x:v>benchmark/preprocessing_training/dim_600/snv/msms_pos/seed_41/cnn/pos_msms/original/metrics.json</x:v>
      </x:c>
    </x:row>
    <x:row r="339">
      <x:c r="A339" s="23" t="str">
        <x:v>snv</x:v>
      </x:c>
      <x:c r="B339" s="23" t="str">
        <x:v>msms_pos</x:v>
      </x:c>
      <x:c r="C339" s="23" t="str">
        <x:v>mps</x:v>
      </x:c>
      <x:c r="D339" s="23" t="n">
        <x:v>41</x:v>
      </x:c>
      <x:c r="E339" s="23" t="n">
        <x:v>600</x:v>
      </x:c>
      <x:c r="F339" s="23"/>
      <x:c r="G339" s="23"/>
      <x:c r="H339" s="23"/>
      <x:c r="I339" s="24" t="n">
        <x:v>0.2986</x:v>
      </x:c>
      <x:c r="J339" s="24" t="n">
        <x:v>0.1762</x:v>
      </x:c>
      <x:c r="K339" s="24" t="n">
        <x:v>0.2374</x:v>
      </x:c>
      <x:c r="L339" s="24" t="n">
        <x:v>2.1419</x:v>
      </x:c>
      <x:c r="M339" s="24" t="n">
        <x:v>0.29807870774740153</x:v>
      </x:c>
      <x:c r="N339" s="24" t="n">
        <x:v>0.17636191772472237</x:v>
      </x:c>
      <x:c r="O339" s="24" t="n">
        <x:v>0.23722031273606195</x:v>
      </x:c>
      <x:c r="P339" s="24" t="n">
        <x:v>1.7145</x:v>
      </x:c>
      <x:c r="Q339" s="24" t="n">
        <x:v>0.0001</x:v>
      </x:c>
      <x:c r="R339" s="24" t="n">
        <x:v>0.5436</x:v>
      </x:c>
      <x:c r="S339" s="24" t="n">
        <x:v>0.2011</x:v>
      </x:c>
      <x:c r="T339" s="24" t="n">
        <x:v>0.16</x:v>
      </x:c>
      <x:c r="U339" s="24" t="n">
        <x:v>0.5753</x:v>
      </x:c>
      <x:c r="V339" s="24" t="n">
        <x:v>0.535</x:v>
      </x:c>
      <x:c r="W339" s="23" t="n">
        <x:v>89</x:v>
      </x:c>
      <x:c r="X339" s="23" t="n">
        <x:v>109</x:v>
      </x:c>
      <x:c r="Y339" s="25" t="n">
        <x:v>128.4</x:v>
      </x:c>
      <x:c r="Z339" s="23" t="str">
        <x:v>benchmark/preprocessing_training/dim_600/snv/msms_pos/seed_41/mps/results/metrics.json</x:v>
      </x:c>
    </x:row>
    <x:row r="340">
      <x:c r="A340" s="23" t="str">
        <x:v>snv</x:v>
      </x:c>
      <x:c r="B340" s="23" t="str">
        <x:v>msms_pos</x:v>
      </x:c>
      <x:c r="C340" s="23" t="str">
        <x:v>ttn</x:v>
      </x:c>
      <x:c r="D340" s="23" t="n">
        <x:v>41</x:v>
      </x:c>
      <x:c r="E340" s="23" t="n">
        <x:v>600</x:v>
      </x:c>
      <x:c r="F340" s="23"/>
      <x:c r="G340" s="23"/>
      <x:c r="H340" s="23"/>
      <x:c r="I340" s="24" t="n">
        <x:v>0.6381885598690937</x:v>
      </x:c>
      <x:c r="J340" s="24" t="n">
        <x:v>0.15180741168531686</x:v>
      </x:c>
      <x:c r="K340" s="24" t="n">
        <x:v>0.3949979857772053</x:v>
      </x:c>
      <x:c r="L340" s="24" t="n">
        <x:v>0.402352</x:v>
      </x:c>
      <x:c r="M340" s="24" t="n">
        <x:v>0.6380792009362553</x:v>
      </x:c>
      <x:c r="N340" s="24" t="n">
        <x:v>0.1499079112887327</x:v>
      </x:c>
      <x:c r="O340" s="24" t="n">
        <x:v>0.393993556112494</x:v>
      </x:c>
      <x:c r="P340" s="24" t="n">
        <x:v>0.403977</x:v>
      </x:c>
      <x:c r="Q340" s="24"/>
      <x:c r="R340" s="24"/>
      <x:c r="S340" s="24" t="n">
        <x:v>0.72554</x:v>
      </x:c>
      <x:c r="T340" s="24"/>
      <x:c r="U340" s="24" t="n">
        <x:v>0.569436</x:v>
      </x:c>
      <x:c r="V340" s="24"/>
      <x:c r="W340" s="23" t="n">
        <x:v>66</x:v>
      </x:c>
      <x:c r="X340" s="23" t="n">
        <x:v>86</x:v>
      </x:c>
      <x:c r="Y340" s="25" t="n">
        <x:v>26.406333333333336</x:v>
      </x:c>
      <x:c r="Z340" s="23" t="str">
        <x:v>benchmark/preprocessing_training/dim_600/snv/msms_pos/seed_41/ttn/metrics.json</x:v>
      </x:c>
    </x:row>
    <x:row r="341">
      <x:c r="A341" s="23" t="str">
        <x:v>snv</x:v>
      </x:c>
      <x:c r="B341" s="23" t="str">
        <x:v>msms_pos</x:v>
      </x:c>
      <x:c r="C341" s="23" t="str">
        <x:v>xgboost</x:v>
      </x:c>
      <x:c r="D341" s="23" t="n">
        <x:v>41</x:v>
      </x:c>
      <x:c r="E341" s="23" t="n">
        <x:v>600</x:v>
      </x:c>
      <x:c r="F341" s="23" t="n">
        <x:v>635496</x:v>
      </x:c>
      <x:c r="G341" s="23" t="n">
        <x:v>79450</x:v>
      </x:c>
      <x:c r="H341" s="23" t="n">
        <x:v>79457</x:v>
      </x:c>
      <x:c r="I341" s="24" t="n">
        <x:v>0.6357557616913367</x:v>
      </x:c>
      <x:c r="J341" s="24" t="n">
        <x:v>0.10320554186623247</x:v>
      </x:c>
      <x:c r="K341" s="24" t="n">
        <x:v>0.3694806517787846</x:v>
      </x:c>
      <x:c r="L341" s="24"/>
      <x:c r="M341" s="24" t="n">
        <x:v>0.6354846907768975</x:v>
      </x:c>
      <x:c r="N341" s="24" t="n">
        <x:v>0.10316152067766401</x:v>
      </x:c>
      <x:c r="O341" s="24" t="n">
        <x:v>0.3693231057272808</x:v>
      </x:c>
      <x:c r="P341" s="24"/>
      <x:c r="Q341" s="24"/>
      <x:c r="R341" s="24"/>
      <x:c r="S341" s="24"/>
      <x:c r="T341" s="24"/>
      <x:c r="U341" s="24"/>
      <x:c r="V341" s="24"/>
      <x:c r="W341" s="23"/>
      <x:c r="X341" s="23"/>
      <x:c r="Y341" s="25" t="n">
        <x:v>5.590973682983409</x:v>
      </x:c>
      <x:c r="Z341" s="23" t="str">
        <x:v>benchmark/preprocessing_training/dim_600/snv/msms_pos/seed_41/xgboost/pos_msms/original/metrics.json</x:v>
      </x:c>
    </x:row>
    <x:row r="342">
      <x:c r="A342" s="23" t="str">
        <x:v>sqrt</x:v>
      </x:c>
      <x:c r="B342" s="23" t="str">
        <x:v>cnmr</x:v>
      </x:c>
      <x:c r="C342" s="23" t="str">
        <x:v>cnn</x:v>
      </x:c>
      <x:c r="D342" s="23" t="n">
        <x:v>41</x:v>
      </x:c>
      <x:c r="E342" s="23" t="n">
        <x:v>600</x:v>
      </x:c>
      <x:c r="F342" s="23" t="n">
        <x:v>635496</x:v>
      </x:c>
      <x:c r="G342" s="23" t="n">
        <x:v>79450</x:v>
      </x:c>
      <x:c r="H342" s="23" t="n">
        <x:v>79457</x:v>
      </x:c>
      <x:c r="I342" s="24" t="n">
        <x:v>0.5488015003433505</x:v>
      </x:c>
      <x:c r="J342" s="24" t="n">
        <x:v>0.0905803917956931</x:v>
      </x:c>
      <x:c r="K342" s="24" t="n">
        <x:v>0.3196909460695218</x:v>
      </x:c>
      <x:c r="L342" s="24" t="n">
        <x:v>0.23010803759098053</x:v>
      </x:c>
      <x:c r="M342" s="24" t="n">
        <x:v>0.5494752126486748</x:v>
      </x:c>
      <x:c r="N342" s="24" t="n">
        <x:v>0.09047719424837478</x:v>
      </x:c>
      <x:c r="O342" s="24" t="n">
        <x:v>0.3199762034485248</x:v>
      </x:c>
      <x:c r="P342" s="24"/>
      <x:c r="Q342" s="24"/>
      <x:c r="R342" s="24"/>
      <x:c r="S342" s="24"/>
      <x:c r="T342" s="24"/>
      <x:c r="U342" s="24"/>
      <x:c r="V342" s="24"/>
      <x:c r="W342" s="23" t="n">
        <x:v>3</x:v>
      </x:c>
      <x:c r="X342" s="23" t="n">
        <x:v>22</x:v>
      </x:c>
      <x:c r="Y342" s="25" t="n">
        <x:v>17.401722997019533</x:v>
      </x:c>
      <x:c r="Z342" s="23" t="str">
        <x:v>benchmark/preprocessing_training/dim_600/sqrt/cnmr/seed_41/cnn/cnmr/original/metrics.json</x:v>
      </x:c>
    </x:row>
    <x:row r="343">
      <x:c r="A343" s="23" t="str">
        <x:v>sqrt</x:v>
      </x:c>
      <x:c r="B343" s="23" t="str">
        <x:v>cnmr</x:v>
      </x:c>
      <x:c r="C343" s="23" t="str">
        <x:v>mps</x:v>
      </x:c>
      <x:c r="D343" s="23" t="n">
        <x:v>41</x:v>
      </x:c>
      <x:c r="E343" s="23" t="n">
        <x:v>600</x:v>
      </x:c>
      <x:c r="F343" s="23"/>
      <x:c r="G343" s="23"/>
      <x:c r="H343" s="23"/>
      <x:c r="I343" s="24" t="n">
        <x:v>0.7041</x:v>
      </x:c>
      <x:c r="J343" s="24" t="n">
        <x:v>0.3979</x:v>
      </x:c>
      <x:c r="K343" s="24" t="n">
        <x:v>0.5509999999999999</x:v>
      </x:c>
      <x:c r="L343" s="24" t="n">
        <x:v>9.3987</x:v>
      </x:c>
      <x:c r="M343" s="24" t="n">
        <x:v>0.704371077494268</x:v>
      </x:c>
      <x:c r="N343" s="24" t="n">
        <x:v>0.3958053797863674</x:v>
      </x:c>
      <x:c r="O343" s="24" t="n">
        <x:v>0.5500882286403177</x:v>
      </x:c>
      <x:c r="P343" s="24" t="n">
        <x:v>9.0559</x:v>
      </x:c>
      <x:c r="Q343" s="24" t="n">
        <x:v>0.0717</x:v>
      </x:c>
      <x:c r="R343" s="24" t="n">
        <x:v>0.727</x:v>
      </x:c>
      <x:c r="S343" s="24" t="n">
        <x:v>0.6604</x:v>
      </x:c>
      <x:c r="T343" s="24" t="n">
        <x:v>0.3784</x:v>
      </x:c>
      <x:c r="U343" s="24" t="n">
        <x:v>0.7546</x:v>
      </x:c>
      <x:c r="V343" s="24" t="n">
        <x:v>0.4281</x:v>
      </x:c>
      <x:c r="W343" s="23" t="n">
        <x:v>175</x:v>
      </x:c>
      <x:c r="X343" s="23" t="n">
        <x:v>185</x:v>
      </x:c>
      <x:c r="Y343" s="25" t="n">
        <x:v>264.4</x:v>
      </x:c>
      <x:c r="Z343" s="23" t="str">
        <x:v>benchmark/preprocessing_training/dim_600/sqrt/cnmr/seed_41/mps/results/metrics.json</x:v>
      </x:c>
    </x:row>
    <x:row r="344">
      <x:c r="A344" s="23" t="str">
        <x:v>sqrt</x:v>
      </x:c>
      <x:c r="B344" s="23" t="str">
        <x:v>cnmr</x:v>
      </x:c>
      <x:c r="C344" s="23" t="str">
        <x:v>ttn</x:v>
      </x:c>
      <x:c r="D344" s="23" t="n">
        <x:v>41</x:v>
      </x:c>
      <x:c r="E344" s="23" t="n">
        <x:v>600</x:v>
      </x:c>
      <x:c r="F344" s="23"/>
      <x:c r="G344" s="23"/>
      <x:c r="H344" s="23"/>
      <x:c r="I344" s="24" t="n">
        <x:v>0.7380466645668962</x:v>
      </x:c>
      <x:c r="J344" s="24" t="n">
        <x:v>0.3680525563287144</x:v>
      </x:c>
      <x:c r="K344" s="24" t="n">
        <x:v>0.5530496104478053</x:v>
      </x:c>
      <x:c r="L344" s="24" t="n">
        <x:v>0.304399</x:v>
      </x:c>
      <x:c r="M344" s="24" t="n">
        <x:v>0.7385435447205456</x:v>
      </x:c>
      <x:c r="N344" s="24" t="n">
        <x:v>0.36434221250343796</x:v>
      </x:c>
      <x:c r="O344" s="24" t="n">
        <x:v>0.5514428786119918</x:v>
      </x:c>
      <x:c r="P344" s="24" t="n">
        <x:v>0.303887</x:v>
      </x:c>
      <x:c r="Q344" s="24"/>
      <x:c r="R344" s="24"/>
      <x:c r="S344" s="24" t="n">
        <x:v>0.732661</x:v>
      </x:c>
      <x:c r="T344" s="24"/>
      <x:c r="U344" s="24" t="n">
        <x:v>0.744522</x:v>
      </x:c>
      <x:c r="V344" s="24"/>
      <x:c r="W344" s="23" t="n">
        <x:v>27</x:v>
      </x:c>
      <x:c r="X344" s="23" t="n">
        <x:v>62</x:v>
      </x:c>
      <x:c r="Y344" s="25" t="n">
        <x:v>18.397</x:v>
      </x:c>
      <x:c r="Z344" s="23" t="str">
        <x:v>benchmark/preprocessing_training/dim_600/sqrt/cnmr/seed_41/ttn/metrics.json</x:v>
      </x:c>
    </x:row>
    <x:row r="345">
      <x:c r="A345" s="23" t="str">
        <x:v>sqrt</x:v>
      </x:c>
      <x:c r="B345" s="23" t="str">
        <x:v>cnmr</x:v>
      </x:c>
      <x:c r="C345" s="23" t="str">
        <x:v>xgboost</x:v>
      </x:c>
      <x:c r="D345" s="23" t="n">
        <x:v>41</x:v>
      </x:c>
      <x:c r="E345" s="23" t="n">
        <x:v>600</x:v>
      </x:c>
      <x:c r="F345" s="23" t="n">
        <x:v>635496</x:v>
      </x:c>
      <x:c r="G345" s="23" t="n">
        <x:v>79450</x:v>
      </x:c>
      <x:c r="H345" s="23" t="n">
        <x:v>79457</x:v>
      </x:c>
      <x:c r="I345" s="24" t="n">
        <x:v>0.7889971697837949</x:v>
      </x:c>
      <x:c r="J345" s="24" t="n">
        <x:v>0.4190274147048362</x:v>
      </x:c>
      <x:c r="K345" s="24" t="n">
        <x:v>0.6040122922443155</x:v>
      </x:c>
      <x:c r="L345" s="24"/>
      <x:c r="M345" s="24" t="n">
        <x:v>0.7890503138602921</x:v>
      </x:c>
      <x:c r="N345" s="24" t="n">
        <x:v>0.4131132255237764</x:v>
      </x:c>
      <x:c r="O345" s="24" t="n">
        <x:v>0.6010817696920343</x:v>
      </x:c>
      <x:c r="P345" s="24"/>
      <x:c r="Q345" s="24"/>
      <x:c r="R345" s="24"/>
      <x:c r="S345" s="24"/>
      <x:c r="T345" s="24"/>
      <x:c r="U345" s="24"/>
      <x:c r="V345" s="24"/>
      <x:c r="W345" s="23"/>
      <x:c r="X345" s="23"/>
      <x:c r="Y345" s="25" t="n">
        <x:v>4.478161998582072</x:v>
      </x:c>
      <x:c r="Z345" s="23" t="str">
        <x:v>benchmark/preprocessing_training/dim_600/sqrt/cnmr/seed_41/xgboost/cnmr/original/metrics.json</x:v>
      </x:c>
    </x:row>
    <x:row r="346">
      <x:c r="A346" s="23" t="str">
        <x:v>sqrt</x:v>
      </x:c>
      <x:c r="B346" s="23" t="str">
        <x:v>hnmr</x:v>
      </x:c>
      <x:c r="C346" s="23" t="str">
        <x:v>cnn</x:v>
      </x:c>
      <x:c r="D346" s="23" t="n">
        <x:v>41</x:v>
      </x:c>
      <x:c r="E346" s="23" t="n">
        <x:v>600</x:v>
      </x:c>
      <x:c r="F346" s="23" t="n">
        <x:v>635496</x:v>
      </x:c>
      <x:c r="G346" s="23" t="n">
        <x:v>79450</x:v>
      </x:c>
      <x:c r="H346" s="23" t="n">
        <x:v>79457</x:v>
      </x:c>
      <x:c r="I346" s="24" t="n">
        <x:v>0.5513010037939483</x:v>
      </x:c>
      <x:c r="J346" s="24" t="n">
        <x:v>0.09753625146377322</x:v>
      </x:c>
      <x:c r="K346" s="24" t="n">
        <x:v>0.32441862762886076</x:v>
      </x:c>
      <x:c r="L346" s="24" t="n">
        <x:v>1.3563581705093384</x:v>
      </x:c>
      <x:c r="M346" s="24" t="n">
        <x:v>0.5519633230476604</x:v>
      </x:c>
      <x:c r="N346" s="24" t="n">
        <x:v>0.09765206433632197</x:v>
      </x:c>
      <x:c r="O346" s="24" t="n">
        <x:v>0.3248076936919912</x:v>
      </x:c>
      <x:c r="P346" s="24"/>
      <x:c r="Q346" s="24"/>
      <x:c r="R346" s="24"/>
      <x:c r="S346" s="24"/>
      <x:c r="T346" s="24"/>
      <x:c r="U346" s="24"/>
      <x:c r="V346" s="24"/>
      <x:c r="W346" s="23" t="n">
        <x:v>18</x:v>
      </x:c>
      <x:c r="X346" s="23" t="n">
        <x:v>22</x:v>
      </x:c>
      <x:c r="Y346" s="25" t="n">
        <x:v>17.563252214664438</x:v>
      </x:c>
      <x:c r="Z346" s="23" t="str">
        <x:v>benchmark/preprocessing_training/dim_600/sqrt/hnmr/seed_41/cnn/hnmr/original/metrics.json</x:v>
      </x:c>
    </x:row>
    <x:row r="347">
      <x:c r="A347" s="23" t="str">
        <x:v>sqrt</x:v>
      </x:c>
      <x:c r="B347" s="23" t="str">
        <x:v>hnmr</x:v>
      </x:c>
      <x:c r="C347" s="23" t="str">
        <x:v>mps</x:v>
      </x:c>
      <x:c r="D347" s="23" t="n">
        <x:v>41</x:v>
      </x:c>
      <x:c r="E347" s="23" t="n">
        <x:v>600</x:v>
      </x:c>
      <x:c r="F347" s="23"/>
      <x:c r="G347" s="23"/>
      <x:c r="H347" s="23"/>
      <x:c r="I347" s="24" t="n">
        <x:v>0.7344</x:v>
      </x:c>
      <x:c r="J347" s="24" t="n">
        <x:v>0.4173</x:v>
      </x:c>
      <x:c r="K347" s="24" t="n">
        <x:v>0.57585</x:v>
      </x:c>
      <x:c r="L347" s="24" t="n">
        <x:v>9.7818</x:v>
      </x:c>
      <x:c r="M347" s="24" t="n">
        <x:v>0.7331380691477324</x:v>
      </x:c>
      <x:c r="N347" s="24" t="n">
        <x:v>0.41237653807709107</x:v>
      </x:c>
      <x:c r="O347" s="24" t="n">
        <x:v>0.5727573036124117</x:v>
      </x:c>
      <x:c r="P347" s="24" t="n">
        <x:v>9.448</x:v>
      </x:c>
      <x:c r="Q347" s="24" t="n">
        <x:v>0.1121</x:v>
      </x:c>
      <x:c r="R347" s="24" t="n">
        <x:v>0.7353</x:v>
      </x:c>
      <x:c r="S347" s="24" t="n">
        <x:v>0.7324</x:v>
      </x:c>
      <x:c r="T347" s="24" t="n">
        <x:v>0.4665</x:v>
      </x:c>
      <x:c r="U347" s="24" t="n">
        <x:v>0.7338</x:v>
      </x:c>
      <x:c r="V347" s="24" t="n">
        <x:v>0.3844</x:v>
      </x:c>
      <x:c r="W347" s="23" t="n">
        <x:v>164</x:v>
      </x:c>
      <x:c r="X347" s="23" t="n">
        <x:v>174</x:v>
      </x:c>
      <x:c r="Y347" s="25" t="n">
        <x:v>117.1</x:v>
      </x:c>
      <x:c r="Z347" s="23" t="str">
        <x:v>benchmark/preprocessing_training/dim_600/sqrt/hnmr/seed_41/mps/results/metrics.json</x:v>
      </x:c>
    </x:row>
    <x:row r="348">
      <x:c r="A348" s="23" t="str">
        <x:v>sqrt</x:v>
      </x:c>
      <x:c r="B348" s="23" t="str">
        <x:v>hnmr</x:v>
      </x:c>
      <x:c r="C348" s="23" t="str">
        <x:v>ttn</x:v>
      </x:c>
      <x:c r="D348" s="23" t="n">
        <x:v>41</x:v>
      </x:c>
      <x:c r="E348" s="23" t="n">
        <x:v>600</x:v>
      </x:c>
      <x:c r="F348" s="23"/>
      <x:c r="G348" s="23"/>
      <x:c r="H348" s="23"/>
      <x:c r="I348" s="24" t="n">
        <x:v>0.7069075680306693</x:v>
      </x:c>
      <x:c r="J348" s="24" t="n">
        <x:v>0.3346888309928157</x:v>
      </x:c>
      <x:c r="K348" s="24" t="n">
        <x:v>0.5207981995117426</x:v>
      </x:c>
      <x:c r="L348" s="24" t="n">
        <x:v>0.363234</x:v>
      </x:c>
      <x:c r="M348" s="24" t="n">
        <x:v>0.7073709406285554</x:v>
      </x:c>
      <x:c r="N348" s="24" t="n">
        <x:v>0.33010438011333426</x:v>
      </x:c>
      <x:c r="O348" s="24" t="n">
        <x:v>0.5187376603709448</x:v>
      </x:c>
      <x:c r="P348" s="24" t="n">
        <x:v>0.364753</x:v>
      </x:c>
      <x:c r="Q348" s="24"/>
      <x:c r="R348" s="24"/>
      <x:c r="S348" s="24" t="n">
        <x:v>0.704819</x:v>
      </x:c>
      <x:c r="T348" s="24"/>
      <x:c r="U348" s="24" t="n">
        <x:v>0.709941</x:v>
      </x:c>
      <x:c r="V348" s="24"/>
      <x:c r="W348" s="23" t="n">
        <x:v>40</x:v>
      </x:c>
      <x:c r="X348" s="23" t="n">
        <x:v>60</x:v>
      </x:c>
      <x:c r="Y348" s="25" t="n">
        <x:v>17.459</x:v>
      </x:c>
      <x:c r="Z348" s="23" t="str">
        <x:v>benchmark/preprocessing_training/dim_600/sqrt/hnmr/seed_41/ttn/metrics.json</x:v>
      </x:c>
    </x:row>
    <x:row r="349">
      <x:c r="A349" s="23" t="str">
        <x:v>sqrt</x:v>
      </x:c>
      <x:c r="B349" s="23" t="str">
        <x:v>hnmr</x:v>
      </x:c>
      <x:c r="C349" s="23" t="str">
        <x:v>xgboost</x:v>
      </x:c>
      <x:c r="D349" s="23" t="n">
        <x:v>41</x:v>
      </x:c>
      <x:c r="E349" s="23" t="n">
        <x:v>600</x:v>
      </x:c>
      <x:c r="F349" s="23" t="n">
        <x:v>635496</x:v>
      </x:c>
      <x:c r="G349" s="23" t="n">
        <x:v>79450</x:v>
      </x:c>
      <x:c r="H349" s="23" t="n">
        <x:v>79457</x:v>
      </x:c>
      <x:c r="I349" s="24" t="n">
        <x:v>0.7640094901304443</x:v>
      </x:c>
      <x:c r="J349" s="24" t="n">
        <x:v>0.375604446602951</x:v>
      </x:c>
      <x:c r="K349" s="24" t="n">
        <x:v>0.5698069683666976</x:v>
      </x:c>
      <x:c r="L349" s="24"/>
      <x:c r="M349" s="24" t="n">
        <x:v>0.764537117065207</x:v>
      </x:c>
      <x:c r="N349" s="24" t="n">
        <x:v>0.3659439218600408</x:v>
      </x:c>
      <x:c r="O349" s="24" t="n">
        <x:v>0.5652405194626239</x:v>
      </x:c>
      <x:c r="P349" s="24"/>
      <x:c r="Q349" s="24"/>
      <x:c r="R349" s="24"/>
      <x:c r="S349" s="24"/>
      <x:c r="T349" s="24"/>
      <x:c r="U349" s="24"/>
      <x:c r="V349" s="24"/>
      <x:c r="W349" s="23"/>
      <x:c r="X349" s="23"/>
      <x:c r="Y349" s="25" t="n">
        <x:v>3.9802358171824985</x:v>
      </x:c>
      <x:c r="Z349" s="23" t="str">
        <x:v>benchmark/preprocessing_training/dim_600/sqrt/hnmr/seed_41/xgboost/hnmr/original/metrics.json</x:v>
      </x:c>
    </x:row>
    <x:row r="350">
      <x:c r="A350" s="23" t="str">
        <x:v>sqrt</x:v>
      </x:c>
      <x:c r="B350" s="23" t="str">
        <x:v>ir</x:v>
      </x:c>
      <x:c r="C350" s="23" t="str">
        <x:v>cnn</x:v>
      </x:c>
      <x:c r="D350" s="23" t="n">
        <x:v>41</x:v>
      </x:c>
      <x:c r="E350" s="23" t="n">
        <x:v>600</x:v>
      </x:c>
      <x:c r="F350" s="23" t="n">
        <x:v>635496</x:v>
      </x:c>
      <x:c r="G350" s="23" t="n">
        <x:v>79450</x:v>
      </x:c>
      <x:c r="H350" s="23" t="n">
        <x:v>79457</x:v>
      </x:c>
      <x:c r="I350" s="24" t="n">
        <x:v>0.8929889097349096</x:v>
      </x:c>
      <x:c r="J350" s="24" t="n">
        <x:v>0.6736006608773568</x:v>
      </x:c>
      <x:c r="K350" s="24" t="n">
        <x:v>0.7832947853061332</x:v>
      </x:c>
      <x:c r="L350" s="24" t="n">
        <x:v>0.07073133438825607</x:v>
      </x:c>
      <x:c r="M350" s="24" t="n">
        <x:v>0.8933685307360454</x:v>
      </x:c>
      <x:c r="N350" s="24" t="n">
        <x:v>0.6756496984984682</x:v>
      </x:c>
      <x:c r="O350" s="24" t="n">
        <x:v>0.7845091146172568</x:v>
      </x:c>
      <x:c r="P350" s="24"/>
      <x:c r="Q350" s="24"/>
      <x:c r="R350" s="24"/>
      <x:c r="S350" s="24"/>
      <x:c r="T350" s="24"/>
      <x:c r="U350" s="24"/>
      <x:c r="V350" s="24"/>
      <x:c r="W350" s="23" t="n">
        <x:v>31</x:v>
      </x:c>
      <x:c r="X350" s="23" t="n">
        <x:v>42</x:v>
      </x:c>
      <x:c r="Y350" s="25" t="n">
        <x:v>32.328981406684036</x:v>
      </x:c>
      <x:c r="Z350" s="23" t="str">
        <x:v>benchmark/preprocessing_training/dim_600/sqrt/ir/seed_41/cnn/ir/original/metrics.json</x:v>
      </x:c>
    </x:row>
    <x:row r="351">
      <x:c r="A351" s="23" t="str">
        <x:v>sqrt</x:v>
      </x:c>
      <x:c r="B351" s="23" t="str">
        <x:v>ir</x:v>
      </x:c>
      <x:c r="C351" s="23" t="str">
        <x:v>mps</x:v>
      </x:c>
      <x:c r="D351" s="23" t="n">
        <x:v>41</x:v>
      </x:c>
      <x:c r="E351" s="23" t="n">
        <x:v>600</x:v>
      </x:c>
      <x:c r="F351" s="23"/>
      <x:c r="G351" s="23"/>
      <x:c r="H351" s="23"/>
      <x:c r="I351" s="24" t="n">
        <x:v>0.8478</x:v>
      </x:c>
      <x:c r="J351" s="24" t="n">
        <x:v>0.6869</x:v>
      </x:c>
      <x:c r="K351" s="24" t="n">
        <x:v>0.76735</x:v>
      </x:c>
      <x:c r="L351" s="24" t="n">
        <x:v>4.3917</x:v>
      </x:c>
      <x:c r="M351" s="24" t="n">
        <x:v>0.8483401308216376</x:v>
      </x:c>
      <x:c r="N351" s="24" t="n">
        <x:v>0.6809504381849</x:v>
      </x:c>
      <x:c r="O351" s="24" t="n">
        <x:v>0.7646452845032687</x:v>
      </x:c>
      <x:c r="P351" s="24" t="n">
        <x:v>4.3014</x:v>
      </x:c>
      <x:c r="Q351" s="24" t="n">
        <x:v>0.2717</x:v>
      </x:c>
      <x:c r="R351" s="24" t="n">
        <x:v>0.8467</x:v>
      </x:c>
      <x:c r="S351" s="24" t="n">
        <x:v>0.8763</x:v>
      </x:c>
      <x:c r="T351" s="24" t="n">
        <x:v>0.7529</x:v>
      </x:c>
      <x:c r="U351" s="24" t="n">
        <x:v>0.8221</x:v>
      </x:c>
      <x:c r="V351" s="24" t="n">
        <x:v>0.6398</x:v>
      </x:c>
      <x:c r="W351" s="23" t="n">
        <x:v>146</x:v>
      </x:c>
      <x:c r="X351" s="23" t="n">
        <x:v>148</x:v>
      </x:c>
      <x:c r="Y351" s="25" t="n">
        <x:v>97.6</x:v>
      </x:c>
      <x:c r="Z351" s="23" t="str">
        <x:v>benchmark/preprocessing_training/dim_600/sqrt/ir/seed_41/mps/results/metrics.json</x:v>
      </x:c>
    </x:row>
    <x:row r="352">
      <x:c r="A352" s="23" t="str">
        <x:v>sqrt</x:v>
      </x:c>
      <x:c r="B352" s="23" t="str">
        <x:v>ir</x:v>
      </x:c>
      <x:c r="C352" s="23" t="str">
        <x:v>ttn</x:v>
      </x:c>
      <x:c r="D352" s="23" t="n">
        <x:v>41</x:v>
      </x:c>
      <x:c r="E352" s="23" t="n">
        <x:v>600</x:v>
      </x:c>
      <x:c r="F352" s="23"/>
      <x:c r="G352" s="23"/>
      <x:c r="H352" s="23"/>
      <x:c r="I352" s="24" t="n">
        <x:v>0.8387365670422995</x:v>
      </x:c>
      <x:c r="J352" s="24" t="n">
        <x:v>0.6239737100239432</x:v>
      </x:c>
      <x:c r="K352" s="24" t="n">
        <x:v>0.7313551385331214</x:v>
      </x:c>
      <x:c r="L352" s="24" t="n">
        <x:v>0.191056</x:v>
      </x:c>
      <x:c r="M352" s="24" t="n">
        <x:v>0.8392133720998547</x:v>
      </x:c>
      <x:c r="N352" s="24" t="n">
        <x:v>0.5950036474875497</x:v>
      </x:c>
      <x:c r="O352" s="24" t="n">
        <x:v>0.7171085097937022</x:v>
      </x:c>
      <x:c r="P352" s="24" t="n">
        <x:v>0.19343</x:v>
      </x:c>
      <x:c r="Q352" s="24"/>
      <x:c r="R352" s="24"/>
      <x:c r="S352" s="24" t="n">
        <x:v>0.831959</x:v>
      </x:c>
      <x:c r="T352" s="24"/>
      <x:c r="U352" s="24" t="n">
        <x:v>0.846596</x:v>
      </x:c>
      <x:c r="V352" s="24"/>
      <x:c r="W352" s="23" t="n">
        <x:v>82</x:v>
      </x:c>
      <x:c r="X352" s="23" t="n">
        <x:v>102</x:v>
      </x:c>
      <x:c r="Y352" s="25" t="n">
        <x:v>30.818166666666666</x:v>
      </x:c>
      <x:c r="Z352" s="23" t="str">
        <x:v>benchmark/preprocessing_training/dim_600/sqrt/ir/seed_41/ttn/metrics.json</x:v>
      </x:c>
    </x:row>
    <x:row r="353">
      <x:c r="A353" s="23" t="str">
        <x:v>sqrt</x:v>
      </x:c>
      <x:c r="B353" s="23" t="str">
        <x:v>ir</x:v>
      </x:c>
      <x:c r="C353" s="23" t="str">
        <x:v>xgboost</x:v>
      </x:c>
      <x:c r="D353" s="23" t="n">
        <x:v>41</x:v>
      </x:c>
      <x:c r="E353" s="23" t="n">
        <x:v>600</x:v>
      </x:c>
      <x:c r="F353" s="23" t="n">
        <x:v>635496</x:v>
      </x:c>
      <x:c r="G353" s="23" t="n">
        <x:v>79450</x:v>
      </x:c>
      <x:c r="H353" s="23" t="n">
        <x:v>79457</x:v>
      </x:c>
      <x:c r="I353" s="24" t="n">
        <x:v>0.8344132782082769</x:v>
      </x:c>
      <x:c r="J353" s="24" t="n">
        <x:v>0.5450303872368213</x:v>
      </x:c>
      <x:c r="K353" s="24" t="n">
        <x:v>0.6897218327225492</x:v>
      </x:c>
      <x:c r="L353" s="24"/>
      <x:c r="M353" s="24" t="n">
        <x:v>0.8351069717651708</x:v>
      </x:c>
      <x:c r="N353" s="24" t="n">
        <x:v>0.5373221979795547</x:v>
      </x:c>
      <x:c r="O353" s="24" t="n">
        <x:v>0.6862145848723628</x:v>
      </x:c>
      <x:c r="P353" s="24"/>
      <x:c r="Q353" s="24"/>
      <x:c r="R353" s="24"/>
      <x:c r="S353" s="24"/>
      <x:c r="T353" s="24"/>
      <x:c r="U353" s="24"/>
      <x:c r="V353" s="24"/>
      <x:c r="W353" s="23"/>
      <x:c r="X353" s="23"/>
      <x:c r="Y353" s="25" t="n">
        <x:v>6.063812357881883</x:v>
      </x:c>
      <x:c r="Z353" s="23" t="str">
        <x:v>benchmark/preprocessing_training/dim_600/sqrt/ir/seed_41/xgboost/ir/original/metrics.json</x:v>
      </x:c>
    </x:row>
    <x:row r="354">
      <x:c r="A354" s="23" t="str">
        <x:v>sqrt</x:v>
      </x:c>
      <x:c r="B354" s="23" t="str">
        <x:v>msms_neg</x:v>
      </x:c>
      <x:c r="C354" s="23" t="str">
        <x:v>cnn</x:v>
      </x:c>
      <x:c r="D354" s="23" t="n">
        <x:v>41</x:v>
      </x:c>
      <x:c r="E354" s="23" t="n">
        <x:v>600</x:v>
      </x:c>
      <x:c r="F354" s="23" t="n">
        <x:v>635496</x:v>
      </x:c>
      <x:c r="G354" s="23" t="n">
        <x:v>79450</x:v>
      </x:c>
      <x:c r="H354" s="23" t="n">
        <x:v>79457</x:v>
      </x:c>
      <x:c r="I354" s="24" t="n">
        <x:v>0.6453832342152838</x:v>
      </x:c>
      <x:c r="J354" s="24" t="n">
        <x:v>0.11966845564915464</x:v>
      </x:c>
      <x:c r="K354" s="24" t="n">
        <x:v>0.3825258449322192</x:v>
      </x:c>
      <x:c r="L354" s="24" t="n">
        <x:v>0.20167918503284454</x:v>
      </x:c>
      <x:c r="M354" s="24" t="n">
        <x:v>0.645544280016631</x:v>
      </x:c>
      <x:c r="N354" s="24" t="n">
        <x:v>0.1194705995689517</x:v>
      </x:c>
      <x:c r="O354" s="24" t="n">
        <x:v>0.38250743979279134</x:v>
      </x:c>
      <x:c r="P354" s="24"/>
      <x:c r="Q354" s="24"/>
      <x:c r="R354" s="24"/>
      <x:c r="S354" s="24"/>
      <x:c r="T354" s="24"/>
      <x:c r="U354" s="24"/>
      <x:c r="V354" s="24"/>
      <x:c r="W354" s="23" t="n">
        <x:v>14</x:v>
      </x:c>
      <x:c r="X354" s="23" t="n">
        <x:v>31</x:v>
      </x:c>
      <x:c r="Y354" s="25" t="n">
        <x:v>23.58889526988302</x:v>
      </x:c>
      <x:c r="Z354" s="23" t="str">
        <x:v>benchmark/preprocessing_training/dim_600/sqrt/msms_neg/seed_41/cnn/neg_msms/original/metrics.json</x:v>
      </x:c>
    </x:row>
    <x:row r="355">
      <x:c r="A355" s="23" t="str">
        <x:v>sqrt</x:v>
      </x:c>
      <x:c r="B355" s="23" t="str">
        <x:v>msms_neg</x:v>
      </x:c>
      <x:c r="C355" s="23" t="str">
        <x:v>mps</x:v>
      </x:c>
      <x:c r="D355" s="23" t="n">
        <x:v>41</x:v>
      </x:c>
      <x:c r="E355" s="23" t="n">
        <x:v>600</x:v>
      </x:c>
      <x:c r="F355" s="23"/>
      <x:c r="G355" s="23"/>
      <x:c r="H355" s="23"/>
      <x:c r="I355" s="24" t="n">
        <x:v>0.2884</x:v>
      </x:c>
      <x:c r="J355" s="24" t="n">
        <x:v>0.1756</x:v>
      </x:c>
      <x:c r="K355" s="24" t="n">
        <x:v>0.23199999999999998</x:v>
      </x:c>
      <x:c r="L355" s="24" t="n">
        <x:v>1.243</x:v>
      </x:c>
      <x:c r="M355" s="24" t="n">
        <x:v>0.2877040759563016</x:v>
      </x:c>
      <x:c r="N355" s="24" t="n">
        <x:v>0.1754474383644926</x:v>
      </x:c>
      <x:c r="O355" s="24" t="n">
        <x:v>0.2315757571603971</x:v>
      </x:c>
      <x:c r="P355" s="24" t="n">
        <x:v>1.5188</x:v>
      </x:c>
      <x:c r="Q355" s="24" t="n">
        <x:v>0</x:v>
      </x:c>
      <x:c r="R355" s="24" t="n">
        <x:v>0.5465</x:v>
      </x:c>
      <x:c r="S355" s="24" t="n">
        <x:v>0.191</x:v>
      </x:c>
      <x:c r="T355" s="24" t="n">
        <x:v>0.1576</x:v>
      </x:c>
      <x:c r="U355" s="24" t="n">
        <x:v>0.5824</x:v>
      </x:c>
      <x:c r="V355" s="24" t="n">
        <x:v>0.5619</x:v>
      </x:c>
      <x:c r="W355" s="23" t="n">
        <x:v>20</x:v>
      </x:c>
      <x:c r="X355" s="23" t="n">
        <x:v>40</x:v>
      </x:c>
      <x:c r="Y355" s="25" t="n">
        <x:v>27.9</x:v>
      </x:c>
      <x:c r="Z355" s="23" t="str">
        <x:v>benchmark/preprocessing_training/dim_600/sqrt/msms_neg/seed_41/mps/results/metrics.json</x:v>
      </x:c>
    </x:row>
    <x:row r="356">
      <x:c r="A356" s="23" t="str">
        <x:v>sqrt</x:v>
      </x:c>
      <x:c r="B356" s="23" t="str">
        <x:v>msms_neg</x:v>
      </x:c>
      <x:c r="C356" s="23" t="str">
        <x:v>ttn</x:v>
      </x:c>
      <x:c r="D356" s="23" t="n">
        <x:v>41</x:v>
      </x:c>
      <x:c r="E356" s="23" t="n">
        <x:v>600</x:v>
      </x:c>
      <x:c r="F356" s="23"/>
      <x:c r="G356" s="23"/>
      <x:c r="H356" s="23"/>
      <x:c r="I356" s="24" t="n">
        <x:v>0.6403508771929824</x:v>
      </x:c>
      <x:c r="J356" s="24" t="n">
        <x:v>0.15495381324611773</x:v>
      </x:c>
      <x:c r="K356" s="24" t="n">
        <x:v>0.39765234521955006</x:v>
      </x:c>
      <x:c r="L356" s="24" t="n">
        <x:v>0.402872</x:v>
      </x:c>
      <x:c r="M356" s="24" t="n">
        <x:v>0.6400507063398989</x:v>
      </x:c>
      <x:c r="N356" s="24" t="n">
        <x:v>0.15487970775475152</x:v>
      </x:c>
      <x:c r="O356" s="24" t="n">
        <x:v>0.39746520704732524</x:v>
      </x:c>
      <x:c r="P356" s="24" t="n">
        <x:v>0.403974</x:v>
      </x:c>
      <x:c r="Q356" s="24"/>
      <x:c r="R356" s="24"/>
      <x:c r="S356" s="24" t="n">
        <x:v>0.718247</x:v>
      </x:c>
      <x:c r="T356" s="24"/>
      <x:c r="U356" s="24" t="n">
        <x:v>0.577209</x:v>
      </x:c>
      <x:c r="V356" s="24"/>
      <x:c r="W356" s="23" t="n">
        <x:v>69</x:v>
      </x:c>
      <x:c r="X356" s="23" t="n">
        <x:v>89</x:v>
      </x:c>
      <x:c r="Y356" s="25" t="n">
        <x:v>26.084666666666667</x:v>
      </x:c>
      <x:c r="Z356" s="23" t="str">
        <x:v>benchmark/preprocessing_training/dim_600/sqrt/msms_neg/seed_41/ttn/metrics.json</x:v>
      </x:c>
    </x:row>
    <x:row r="357">
      <x:c r="A357" s="23" t="str">
        <x:v>sqrt</x:v>
      </x:c>
      <x:c r="B357" s="23" t="str">
        <x:v>msms_neg</x:v>
      </x:c>
      <x:c r="C357" s="23" t="str">
        <x:v>xgboost</x:v>
      </x:c>
      <x:c r="D357" s="23" t="n">
        <x:v>41</x:v>
      </x:c>
      <x:c r="E357" s="23" t="n">
        <x:v>600</x:v>
      </x:c>
      <x:c r="F357" s="23" t="n">
        <x:v>635496</x:v>
      </x:c>
      <x:c r="G357" s="23" t="n">
        <x:v>79450</x:v>
      </x:c>
      <x:c r="H357" s="23" t="n">
        <x:v>79457</x:v>
      </x:c>
      <x:c r="I357" s="24" t="n">
        <x:v>0.6264694704534411</x:v>
      </x:c>
      <x:c r="J357" s="24" t="n">
        <x:v>0.1109718737423572</x:v>
      </x:c>
      <x:c r="K357" s="24" t="n">
        <x:v>0.36872067209789916</x:v>
      </x:c>
      <x:c r="L357" s="24"/>
      <x:c r="M357" s="24" t="n">
        <x:v>0.6265012298652683</x:v>
      </x:c>
      <x:c r="N357" s="24" t="n">
        <x:v>0.1111052305349156</x:v>
      </x:c>
      <x:c r="O357" s="24" t="n">
        <x:v>0.368803230200092</x:v>
      </x:c>
      <x:c r="P357" s="24"/>
      <x:c r="Q357" s="24"/>
      <x:c r="R357" s="24"/>
      <x:c r="S357" s="24"/>
      <x:c r="T357" s="24"/>
      <x:c r="U357" s="24"/>
      <x:c r="V357" s="24"/>
      <x:c r="W357" s="23"/>
      <x:c r="X357" s="23"/>
      <x:c r="Y357" s="25" t="n">
        <x:v>2.540698657068424</x:v>
      </x:c>
      <x:c r="Z357" s="23" t="str">
        <x:v>benchmark/preprocessing_training/dim_600/sqrt/msms_neg/seed_41/xgboost/neg_msms/original/metrics.json</x:v>
      </x:c>
    </x:row>
    <x:row r="358">
      <x:c r="A358" s="23" t="str">
        <x:v>sqrt</x:v>
      </x:c>
      <x:c r="B358" s="23" t="str">
        <x:v>msms_pos</x:v>
      </x:c>
      <x:c r="C358" s="23" t="str">
        <x:v>cnn</x:v>
      </x:c>
      <x:c r="D358" s="23" t="n">
        <x:v>41</x:v>
      </x:c>
      <x:c r="E358" s="23" t="n">
        <x:v>600</x:v>
      </x:c>
      <x:c r="F358" s="23" t="n">
        <x:v>635496</x:v>
      </x:c>
      <x:c r="G358" s="23" t="n">
        <x:v>79450</x:v>
      </x:c>
      <x:c r="H358" s="23" t="n">
        <x:v>79457</x:v>
      </x:c>
      <x:c r="I358" s="24" t="n">
        <x:v>0.6412111306493514</x:v>
      </x:c>
      <x:c r="J358" s="24" t="n">
        <x:v>0.10993779794178199</x:v>
      </x:c>
      <x:c r="K358" s="24" t="n">
        <x:v>0.37557446429556673</x:v>
      </x:c>
      <x:c r="L358" s="24" t="n">
        <x:v>0.23408253490924835</x:v>
      </x:c>
      <x:c r="M358" s="24" t="n">
        <x:v>0.6405418265321224</x:v>
      </x:c>
      <x:c r="N358" s="24" t="n">
        <x:v>0.11052184424718361</x:v>
      </x:c>
      <x:c r="O358" s="24" t="n">
        <x:v>0.375531835389653</x:v>
      </x:c>
      <x:c r="P358" s="24"/>
      <x:c r="Q358" s="24"/>
      <x:c r="R358" s="24"/>
      <x:c r="S358" s="24"/>
      <x:c r="T358" s="24"/>
      <x:c r="U358" s="24"/>
      <x:c r="V358" s="24"/>
      <x:c r="W358" s="23" t="n">
        <x:v>27</x:v>
      </x:c>
      <x:c r="X358" s="23" t="n">
        <x:v>33</x:v>
      </x:c>
      <x:c r="Y358" s="25" t="n">
        <x:v>25.380128771132636</x:v>
      </x:c>
      <x:c r="Z358" s="23" t="str">
        <x:v>benchmark/preprocessing_training/dim_600/sqrt/msms_pos/seed_41/cnn/pos_msms/original/metrics.json</x:v>
      </x:c>
    </x:row>
    <x:row r="359">
      <x:c r="A359" s="23" t="str">
        <x:v>sqrt</x:v>
      </x:c>
      <x:c r="B359" s="23" t="str">
        <x:v>msms_pos</x:v>
      </x:c>
      <x:c r="C359" s="23" t="str">
        <x:v>mps</x:v>
      </x:c>
      <x:c r="D359" s="23" t="n">
        <x:v>41</x:v>
      </x:c>
      <x:c r="E359" s="23" t="n">
        <x:v>600</x:v>
      </x:c>
      <x:c r="F359" s="23"/>
      <x:c r="G359" s="23"/>
      <x:c r="H359" s="23"/>
      <x:c r="I359" s="24" t="n">
        <x:v>0.3006</x:v>
      </x:c>
      <x:c r="J359" s="24" t="n">
        <x:v>0.1774</x:v>
      </x:c>
      <x:c r="K359" s="24" t="n">
        <x:v>0.239</x:v>
      </x:c>
      <x:c r="L359" s="24" t="n">
        <x:v>2.1642</x:v>
      </x:c>
      <x:c r="M359" s="24" t="n">
        <x:v>0.29956008203104295</x:v>
      </x:c>
      <x:c r="N359" s="24" t="n">
        <x:v>0.1772382640519954</x:v>
      </x:c>
      <x:c r="O359" s="24" t="n">
        <x:v>0.23839917304151917</x:v>
      </x:c>
      <x:c r="P359" s="24" t="n">
        <x:v>1.7647</x:v>
      </x:c>
      <x:c r="Q359" s="24" t="n">
        <x:v>0.0001</x:v>
      </x:c>
      <x:c r="R359" s="24" t="n">
        <x:v>0.5463</x:v>
      </x:c>
      <x:c r="S359" s="24" t="n">
        <x:v>0.2019</x:v>
      </x:c>
      <x:c r="T359" s="24" t="n">
        <x:v>0.1602</x:v>
      </x:c>
      <x:c r="U359" s="24" t="n">
        <x:v>0.5806</x:v>
      </x:c>
      <x:c r="V359" s="24" t="n">
        <x:v>0.5391</x:v>
      </x:c>
      <x:c r="W359" s="23" t="n">
        <x:v>89</x:v>
      </x:c>
      <x:c r="X359" s="23" t="n">
        <x:v>109</x:v>
      </x:c>
      <x:c r="Y359" s="25" t="n">
        <x:v>75.5</x:v>
      </x:c>
      <x:c r="Z359" s="23" t="str">
        <x:v>benchmark/preprocessing_training/dim_600/sqrt/msms_pos/seed_41/mps/results/metrics.json</x:v>
      </x:c>
    </x:row>
    <x:row r="360">
      <x:c r="A360" s="23" t="str">
        <x:v>sqrt</x:v>
      </x:c>
      <x:c r="B360" s="23" t="str">
        <x:v>msms_pos</x:v>
      </x:c>
      <x:c r="C360" s="23" t="str">
        <x:v>ttn</x:v>
      </x:c>
      <x:c r="D360" s="23" t="n">
        <x:v>41</x:v>
      </x:c>
      <x:c r="E360" s="23" t="n">
        <x:v>600</x:v>
      </x:c>
      <x:c r="F360" s="23"/>
      <x:c r="G360" s="23"/>
      <x:c r="H360" s="23"/>
      <x:c r="I360" s="24" t="n">
        <x:v>0.6473183210484764</x:v>
      </x:c>
      <x:c r="J360" s="24" t="n">
        <x:v>0.1491978030575496</x:v>
      </x:c>
      <x:c r="K360" s="24" t="n">
        <x:v>0.398258062053013</x:v>
      </x:c>
      <x:c r="L360" s="24" t="n">
        <x:v>0.398683</x:v>
      </x:c>
      <x:c r="M360" s="24" t="n">
        <x:v>0.6471627219885031</x:v>
      </x:c>
      <x:c r="N360" s="24" t="n">
        <x:v>0.14918180363396272</x:v>
      </x:c>
      <x:c r="O360" s="24" t="n">
        <x:v>0.3981722628112329</x:v>
      </x:c>
      <x:c r="P360" s="24" t="n">
        <x:v>0.399133</x:v>
      </x:c>
      <x:c r="Q360" s="24"/>
      <x:c r="R360" s="24"/>
      <x:c r="S360" s="24" t="n">
        <x:v>0.725792</x:v>
      </x:c>
      <x:c r="T360" s="24"/>
      <x:c r="U360" s="24" t="n">
        <x:v>0.583905</x:v>
      </x:c>
      <x:c r="V360" s="24"/>
      <x:c r="W360" s="23" t="n">
        <x:v>4</x:v>
      </x:c>
      <x:c r="X360" s="23" t="n">
        <x:v>56</x:v>
      </x:c>
      <x:c r="Y360" s="25" t="n">
        <x:v>16.487166666666667</x:v>
      </x:c>
      <x:c r="Z360" s="23" t="str">
        <x:v>benchmark/preprocessing_training/dim_600/sqrt/msms_pos/seed_41/ttn/metrics.json</x:v>
      </x:c>
    </x:row>
    <x:row r="361">
      <x:c r="A361" s="23" t="str">
        <x:v>sqrt</x:v>
      </x:c>
      <x:c r="B361" s="23" t="str">
        <x:v>msms_pos</x:v>
      </x:c>
      <x:c r="C361" s="23" t="str">
        <x:v>xgboost</x:v>
      </x:c>
      <x:c r="D361" s="23" t="n">
        <x:v>41</x:v>
      </x:c>
      <x:c r="E361" s="23" t="n">
        <x:v>600</x:v>
      </x:c>
      <x:c r="F361" s="23" t="n">
        <x:v>635496</x:v>
      </x:c>
      <x:c r="G361" s="23" t="n">
        <x:v>79450</x:v>
      </x:c>
      <x:c r="H361" s="23" t="n">
        <x:v>79457</x:v>
      </x:c>
      <x:c r="I361" s="24" t="n">
        <x:v>0.635294643441452</x:v>
      </x:c>
      <x:c r="J361" s="24" t="n">
        <x:v>0.10420038631361997</x:v>
      </x:c>
      <x:c r="K361" s="24" t="n">
        <x:v>0.369747514877536</x:v>
      </x:c>
      <x:c r="L361" s="24"/>
      <x:c r="M361" s="24" t="n">
        <x:v>0.6342628921751166</x:v>
      </x:c>
      <x:c r="N361" s="24" t="n">
        <x:v>0.10474194264308831</x:v>
      </x:c>
      <x:c r="O361" s="24" t="n">
        <x:v>0.36950241740910245</x:v>
      </x:c>
      <x:c r="P361" s="24"/>
      <x:c r="Q361" s="24"/>
      <x:c r="R361" s="24"/>
      <x:c r="S361" s="24"/>
      <x:c r="T361" s="24"/>
      <x:c r="U361" s="24"/>
      <x:c r="V361" s="24"/>
      <x:c r="W361" s="23"/>
      <x:c r="X361" s="23"/>
      <x:c r="Y361" s="25" t="n">
        <x:v>2.7991220325309163</x:v>
      </x:c>
      <x:c r="Z361" s="23" t="str">
        <x:v>benchmark/preprocessing_training/dim_600/sqrt/msms_pos/seed_41/xgboost/pos_msms/original/metrics.json</x:v>
      </x:c>
    </x:row>
  </x:sheetData>
  <x:conditionalFormatting sqref="I2:K36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M2:O361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d5a7aa504a3472b"/>
  </x:tableParts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30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10" max="10" width="12.4399995803833" hidden="0" customWidth="1"/>
    <x:col min="11" max="11" width="7.110000133514404" hidden="0" customWidth="1"/>
    <x:col min="12" max="12" width="7.440000057220459" hidden="0" customWidth="1"/>
    <x:col min="13" max="13" width="7" hidden="0" customWidth="1"/>
  </x:cols>
  <x:sheetData>
    <x:row r="2">
      <x:c r="A2" s="55" t="str">
        <x:v>Preprocessing-Benchmark – alle Resultate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</x:row>
    <x:row r="3">
      <x:c r="A3" s="56" t="str">
        <x:v>Stand 2026-10-26 · Input 600 · Seed 41 · 18 Parameter × 4 Modelle × 5 Spektren</x:v>
      </x:c>
      <x:c r="B3" s="56"/>
      <x:c r="C3" s="56"/>
      <x:c r="D3" s="56"/>
      <x:c r="E3" s="56"/>
      <x:c r="F3" s="56"/>
      <x:c r="G3" s="56"/>
      <x:c r="H3" s="56"/>
      <x:c r="I3" s="56"/>
      <x:c r="J3" s="56"/>
      <x:c r="K3" s="56"/>
      <x:c r="L3" s="56"/>
      <x:c r="M3" s="56"/>
      <x:c r="N3" s="56"/>
      <x:c r="O3" s="56"/>
      <x:c r="P3" s="56"/>
      <x:c r="Q3" s="56"/>
      <x:c r="R3" s="56"/>
      <x:c r="S3" s="56"/>
      <x:c r="T3" s="56"/>
      <x:c r="U3" s="56"/>
      <x:c r="V3" s="56"/>
    </x:row>
    <x:row r="4">
      <x:c r="A4" s="57"/>
      <x:c r="B4" s="57"/>
      <x:c r="C4" s="57"/>
      <x:c r="D4" s="57"/>
      <x:c r="E4" s="57"/>
      <x:c r="F4" s="57"/>
      <x:c r="G4" s="57"/>
      <x:c r="H4" s="57"/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  <x:c r="V4" s="57"/>
    </x:row>
    <x:row r="5">
      <x:c r="A5" s="23"/>
      <x:c r="B5" s="23"/>
      <x:c r="C5" s="23"/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</x:row>
    <x:row r="6">
      <x:c r="A6" s="17" t="str">
        <x:v>Rang</x:v>
      </x:c>
      <x:c r="B6" s="18" t="str">
        <x:v>Preprocessing</x:v>
      </x:c>
      <x:c r="C6" s="18" t="str">
        <x:v>Resultate</x:v>
      </x:c>
      <x:c r="D6" s="18" t="str">
        <x:v>Ø Val F1 micro</x:v>
      </x:c>
      <x:c r="E6" s="18" t="str">
        <x:v>Ø Val F1 macro</x:v>
      </x:c>
      <x:c r="F6" s="18" t="str">
        <x:v>Ø Val F1 blend</x:v>
      </x:c>
      <x:c r="G6" s="18" t="str">
        <x:v>Ø Test F1 micro</x:v>
      </x:c>
      <x:c r="H6" s="19" t="str">
        <x:v>Ø Test F1 macro</x:v>
      </x:c>
      <x:c r="I6" s="23"/>
      <x:c r="J6" s="17" t="str">
        <x:v>Preprocessing</x:v>
      </x:c>
      <x:c r="K6" s="18" t="str">
        <x:v>Val micro</x:v>
      </x:c>
      <x:c r="L6" s="18" t="str">
        <x:v>Val macro</x:v>
      </x:c>
      <x:c r="M6" s="19" t="str">
        <x:v>Val blend</x:v>
      </x:c>
      <x:c r="N6" s="23"/>
      <x:c r="O6" s="23"/>
      <x:c r="P6" s="23"/>
      <x:c r="Q6" s="23"/>
      <x:c r="R6" s="23"/>
      <x:c r="S6" s="23"/>
      <x:c r="T6" s="23"/>
      <x:c r="U6" s="23"/>
      <x:c r="V6" s="23"/>
    </x:row>
    <x:row r="7">
      <x:c r="A7" s="58" t="n">
        <x:f>_xlfn.RANK.EQ(F7,$F$7:$F$24,0)</x:f>
        <x:v>1</x:v>
      </x:c>
      <x:c r="B7" s="59" t="str">
        <x:v>fir</x:v>
      </x:c>
      <x:c r="C7" s="59" t="n">
        <x:f>COUNTIF('Alle Resultate'!$A$2:$A$361,B7)</x:f>
        <x:v>20</x:v>
      </x:c>
      <x:c r="D7" s="60" t="n">
        <x:f>AVERAGEIF('Alle Resultate'!$A$2:$A$361,B7,'Alle Resultate'!$I$2:$I$361)</x:f>
        <x:v>0.7228135453164605</x:v>
      </x:c>
      <x:c r="E7" s="60" t="n">
        <x:f>AVERAGEIF('Alle Resultate'!$A$2:$A$361,B7,'Alle Resultate'!$J$2:$J$361)</x:f>
        <x:v>0.37013162134359895</x:v>
      </x:c>
      <x:c r="F7" s="60" t="n">
        <x:f>AVERAGEIF('Alle Resultate'!$A$2:$A$361,B7,'Alle Resultate'!$K$2:$K$361)</x:f>
        <x:v>0.5464725833300299</x:v>
      </x:c>
      <x:c r="G7" s="60" t="n">
        <x:f>AVERAGEIF('Alle Resultate'!$A$2:$A$361,B7,'Alle Resultate'!$M$2:$M$361)</x:f>
        <x:v>0.7229018824419413</x:v>
      </x:c>
      <x:c r="H7" s="60" t="n">
        <x:f>AVERAGEIF('Alle Resultate'!$A$2:$A$361,B7,'Alle Resultate'!$N$2:$N$361)</x:f>
        <x:v>0.36964702605597943</x:v>
      </x:c>
      <x:c r="I7" s="23"/>
      <x:c r="J7" s="23" t="str">
        <x:f>B7</x:f>
        <x:v>fir</x:v>
      </x:c>
      <x:c r="K7" s="24" t="n">
        <x:f>D7</x:f>
        <x:v>0.7228135453164605</x:v>
      </x:c>
      <x:c r="L7" s="24" t="n">
        <x:f>E7</x:f>
        <x:v>0.37013162134359895</x:v>
      </x:c>
      <x:c r="M7" s="24" t="n">
        <x:f>F7</x:f>
        <x:v>0.5464725833300299</x:v>
      </x:c>
      <x:c r="N7" s="23"/>
      <x:c r="O7" s="23"/>
      <x:c r="P7" s="23"/>
      <x:c r="Q7" s="23"/>
      <x:c r="R7" s="23"/>
      <x:c r="S7" s="23"/>
      <x:c r="T7" s="23"/>
      <x:c r="U7" s="23"/>
      <x:c r="V7" s="23"/>
    </x:row>
    <x:row r="8">
      <x:c r="A8" s="61" t="n">
        <x:f>_xlfn.RANK.EQ(F8,$F$7:$F$24,0)</x:f>
        <x:v>2</x:v>
      </x:c>
      <x:c r="B8" s="23" t="str">
        <x:v>bin_max</x:v>
      </x:c>
      <x:c r="C8" s="23" t="n">
        <x:f>COUNTIF('Alle Resultate'!$A$2:$A$361,B8)</x:f>
        <x:v>20</x:v>
      </x:c>
      <x:c r="D8" s="24" t="n">
        <x:f>AVERAGEIF('Alle Resultate'!$A$2:$A$361,B8,'Alle Resultate'!$I$2:$I$361)</x:f>
        <x:v>0.717509943826917</x:v>
      </x:c>
      <x:c r="E8" s="24" t="n">
        <x:f>AVERAGEIF('Alle Resultate'!$A$2:$A$361,B8,'Alle Resultate'!$J$2:$J$361)</x:f>
        <x:v>0.3606053565494504</x:v>
      </x:c>
      <x:c r="F8" s="24" t="n">
        <x:f>AVERAGEIF('Alle Resultate'!$A$2:$A$361,B8,'Alle Resultate'!$K$2:$K$361)</x:f>
        <x:v>0.5390576501881837</x:v>
      </x:c>
      <x:c r="G8" s="24" t="n">
        <x:f>AVERAGEIF('Alle Resultate'!$A$2:$A$361,B8,'Alle Resultate'!$M$2:$M$361)</x:f>
        <x:v>0.7175575603163921</x:v>
      </x:c>
      <x:c r="H8" s="24" t="n">
        <x:f>AVERAGEIF('Alle Resultate'!$A$2:$A$361,B8,'Alle Resultate'!$N$2:$N$361)</x:f>
        <x:v>0.35729550187944004</x:v>
      </x:c>
      <x:c r="I8" s="23"/>
      <x:c r="J8" s="23" t="str">
        <x:f>B8</x:f>
        <x:v>bin_max</x:v>
      </x:c>
      <x:c r="K8" s="24" t="n">
        <x:f>D8</x:f>
        <x:v>0.717509943826917</x:v>
      </x:c>
      <x:c r="L8" s="24" t="n">
        <x:f>E8</x:f>
        <x:v>0.3606053565494504</x:v>
      </x:c>
      <x:c r="M8" s="24" t="n">
        <x:f>F8</x:f>
        <x:v>0.5390576501881837</x:v>
      </x:c>
      <x:c r="N8" s="23"/>
      <x:c r="O8" s="23"/>
      <x:c r="P8" s="23"/>
      <x:c r="Q8" s="23"/>
      <x:c r="R8" s="23"/>
      <x:c r="S8" s="23"/>
      <x:c r="T8" s="23"/>
      <x:c r="U8" s="23"/>
      <x:c r="V8" s="23"/>
    </x:row>
    <x:row r="9">
      <x:c r="A9" s="61" t="n">
        <x:f>_xlfn.RANK.EQ(F9,$F$7:$F$24,0)</x:f>
        <x:v>3</x:v>
      </x:c>
      <x:c r="B9" s="23" t="str">
        <x:v>bin_mean</x:v>
      </x:c>
      <x:c r="C9" s="23" t="n">
        <x:f>COUNTIF('Alle Resultate'!$A$2:$A$361,B9)</x:f>
        <x:v>20</x:v>
      </x:c>
      <x:c r="D9" s="24" t="n">
        <x:f>AVERAGEIF('Alle Resultate'!$A$2:$A$361,B9,'Alle Resultate'!$I$2:$I$361)</x:f>
        <x:v>0.7118640995989793</x:v>
      </x:c>
      <x:c r="E9" s="24" t="n">
        <x:f>AVERAGEIF('Alle Resultate'!$A$2:$A$361,B9,'Alle Resultate'!$J$2:$J$361)</x:f>
        <x:v>0.36238095445343055</x:v>
      </x:c>
      <x:c r="F9" s="24" t="n">
        <x:f>AVERAGEIF('Alle Resultate'!$A$2:$A$361,B9,'Alle Resultate'!$K$2:$K$361)</x:f>
        <x:v>0.537122527026205</x:v>
      </x:c>
      <x:c r="G9" s="24" t="n">
        <x:f>AVERAGEIF('Alle Resultate'!$A$2:$A$361,B9,'Alle Resultate'!$M$2:$M$361)</x:f>
        <x:v>0.7118721650971195</x:v>
      </x:c>
      <x:c r="H9" s="24" t="n">
        <x:f>AVERAGEIF('Alle Resultate'!$A$2:$A$361,B9,'Alle Resultate'!$N$2:$N$361)</x:f>
        <x:v>0.3577691991323528</x:v>
      </x:c>
      <x:c r="I9" s="23"/>
      <x:c r="J9" s="23" t="str">
        <x:f>B9</x:f>
        <x:v>bin_mean</x:v>
      </x:c>
      <x:c r="K9" s="24" t="n">
        <x:f>D9</x:f>
        <x:v>0.7118640995989793</x:v>
      </x:c>
      <x:c r="L9" s="24" t="n">
        <x:f>E9</x:f>
        <x:v>0.36238095445343055</x:v>
      </x:c>
      <x:c r="M9" s="24" t="n">
        <x:f>F9</x:f>
        <x:v>0.537122527026205</x:v>
      </x:c>
      <x:c r="N9" s="23"/>
      <x:c r="O9" s="23"/>
      <x:c r="P9" s="23"/>
      <x:c r="Q9" s="23"/>
      <x:c r="R9" s="23"/>
      <x:c r="S9" s="23"/>
      <x:c r="T9" s="23"/>
      <x:c r="U9" s="23"/>
      <x:c r="V9" s="23"/>
    </x:row>
    <x:row r="10">
      <x:c r="A10" s="61" t="n">
        <x:f>_xlfn.RANK.EQ(F10,$F$7:$F$24,0)</x:f>
        <x:v>4</x:v>
      </x:c>
      <x:c r="B10" s="23" t="str">
        <x:v>snv</x:v>
      </x:c>
      <x:c r="C10" s="23" t="n">
        <x:f>COUNTIF('Alle Resultate'!$A$2:$A$361,B10)</x:f>
        <x:v>20</x:v>
      </x:c>
      <x:c r="D10" s="24" t="n">
        <x:f>AVERAGEIF('Alle Resultate'!$A$2:$A$361,B10,'Alle Resultate'!$I$2:$I$361)</x:f>
        <x:v>0.684144363997567</x:v>
      </x:c>
      <x:c r="E10" s="24" t="n">
        <x:f>AVERAGEIF('Alle Resultate'!$A$2:$A$361,B10,'Alle Resultate'!$J$2:$J$361)</x:f>
        <x:v>0.31219574287976437</x:v>
      </x:c>
      <x:c r="F10" s="24" t="n">
        <x:f>AVERAGEIF('Alle Resultate'!$A$2:$A$361,B10,'Alle Resultate'!$K$2:$K$361)</x:f>
        <x:v>0.49817005343866566</x:v>
      </x:c>
      <x:c r="G10" s="24" t="n">
        <x:f>AVERAGEIF('Alle Resultate'!$A$2:$A$361,B10,'Alle Resultate'!$M$2:$M$361)</x:f>
        <x:v>0.6841567543007636</x:v>
      </x:c>
      <x:c r="H10" s="24" t="n">
        <x:f>AVERAGEIF('Alle Resultate'!$A$2:$A$361,B10,'Alle Resultate'!$N$2:$N$361)</x:f>
        <x:v>0.3092649524595792</x:v>
      </x:c>
      <x:c r="I10" s="23"/>
      <x:c r="J10" s="23" t="str">
        <x:f>B10</x:f>
        <x:v>snv</x:v>
      </x:c>
      <x:c r="K10" s="24" t="n">
        <x:f>D10</x:f>
        <x:v>0.684144363997567</x:v>
      </x:c>
      <x:c r="L10" s="24" t="n">
        <x:f>E10</x:f>
        <x:v>0.31219574287976437</x:v>
      </x:c>
      <x:c r="M10" s="24" t="n">
        <x:f>F10</x:f>
        <x:v>0.49817005343866566</x:v>
      </x:c>
      <x:c r="N10" s="23"/>
      <x:c r="O10" s="23"/>
      <x:c r="P10" s="23"/>
      <x:c r="Q10" s="23"/>
      <x:c r="R10" s="23"/>
      <x:c r="S10" s="23"/>
      <x:c r="T10" s="23"/>
      <x:c r="U10" s="23"/>
      <x:c r="V10" s="23"/>
    </x:row>
    <x:row r="11">
      <x:c r="A11" s="61" t="n">
        <x:f>_xlfn.RANK.EQ(F11,$F$7:$F$24,0)</x:f>
        <x:v>5</x:v>
      </x:c>
      <x:c r="B11" s="23" t="str">
        <x:v>max</x:v>
      </x:c>
      <x:c r="C11" s="23" t="n">
        <x:f>COUNTIF('Alle Resultate'!$A$2:$A$361,B11)</x:f>
        <x:v>20</x:v>
      </x:c>
      <x:c r="D11" s="24" t="n">
        <x:f>AVERAGEIF('Alle Resultate'!$A$2:$A$361,B11,'Alle Resultate'!$I$2:$I$361)</x:f>
        <x:v>0.677012600307157</x:v>
      </x:c>
      <x:c r="E11" s="24" t="n">
        <x:f>AVERAGEIF('Alle Resultate'!$A$2:$A$361,B11,'Alle Resultate'!$J$2:$J$361)</x:f>
        <x:v>0.3057128662537763</x:v>
      </x:c>
      <x:c r="F11" s="24" t="n">
        <x:f>AVERAGEIF('Alle Resultate'!$A$2:$A$361,B11,'Alle Resultate'!$K$2:$K$361)</x:f>
        <x:v>0.49136273328046676</x:v>
      </x:c>
      <x:c r="G11" s="24" t="n">
        <x:f>AVERAGEIF('Alle Resultate'!$A$2:$A$361,B11,'Alle Resultate'!$M$2:$M$361)</x:f>
        <x:v>0.6770270503378637</x:v>
      </x:c>
      <x:c r="H11" s="24" t="n">
        <x:f>AVERAGEIF('Alle Resultate'!$A$2:$A$361,B11,'Alle Resultate'!$N$2:$N$361)</x:f>
        <x:v>0.30359195164785524</x:v>
      </x:c>
      <x:c r="I11" s="23"/>
      <x:c r="J11" s="23" t="str">
        <x:f>B11</x:f>
        <x:v>max</x:v>
      </x:c>
      <x:c r="K11" s="24" t="n">
        <x:f>D11</x:f>
        <x:v>0.677012600307157</x:v>
      </x:c>
      <x:c r="L11" s="24" t="n">
        <x:f>E11</x:f>
        <x:v>0.3057128662537763</x:v>
      </x:c>
      <x:c r="M11" s="24" t="n">
        <x:f>F11</x:f>
        <x:v>0.49136273328046676</x:v>
      </x:c>
      <x:c r="N11" s="23"/>
      <x:c r="O11" s="23"/>
      <x:c r="P11" s="23"/>
      <x:c r="Q11" s="23"/>
      <x:c r="R11" s="23"/>
      <x:c r="S11" s="23"/>
      <x:c r="T11" s="23"/>
      <x:c r="U11" s="23"/>
      <x:c r="V11" s="23"/>
    </x:row>
    <x:row r="12">
      <x:c r="A12" s="61" t="n">
        <x:f>_xlfn.RANK.EQ(F12,$F$7:$F$24,0)</x:f>
        <x:v>6</x:v>
      </x:c>
      <x:c r="B12" s="23" t="str">
        <x:v>minmax</x:v>
      </x:c>
      <x:c r="C12" s="23" t="n">
        <x:f>COUNTIF('Alle Resultate'!$A$2:$A$361,B12)</x:f>
        <x:v>20</x:v>
      </x:c>
      <x:c r="D12" s="24" t="n">
        <x:f>AVERAGEIF('Alle Resultate'!$A$2:$A$361,B12,'Alle Resultate'!$I$2:$I$361)</x:f>
        <x:v>0.6749484240118803</x:v>
      </x:c>
      <x:c r="E12" s="24" t="n">
        <x:f>AVERAGEIF('Alle Resultate'!$A$2:$A$361,B12,'Alle Resultate'!$J$2:$J$361)</x:f>
        <x:v>0.30238569022293565</x:v>
      </x:c>
      <x:c r="F12" s="24" t="n">
        <x:f>AVERAGEIF('Alle Resultate'!$A$2:$A$361,B12,'Alle Resultate'!$K$2:$K$361)</x:f>
        <x:v>0.48866705711740793</x:v>
      </x:c>
      <x:c r="G12" s="24" t="n">
        <x:f>AVERAGEIF('Alle Resultate'!$A$2:$A$361,B12,'Alle Resultate'!$M$2:$M$361)</x:f>
        <x:v>0.6749739590287187</x:v>
      </x:c>
      <x:c r="H12" s="24" t="n">
        <x:f>AVERAGEIF('Alle Resultate'!$A$2:$A$361,B12,'Alle Resultate'!$N$2:$N$361)</x:f>
        <x:v>0.2991744498297928</x:v>
      </x:c>
      <x:c r="I12" s="23"/>
      <x:c r="J12" s="23" t="str">
        <x:f>B12</x:f>
        <x:v>minmax</x:v>
      </x:c>
      <x:c r="K12" s="24" t="n">
        <x:f>D12</x:f>
        <x:v>0.6749484240118803</x:v>
      </x:c>
      <x:c r="L12" s="24" t="n">
        <x:f>E12</x:f>
        <x:v>0.30238569022293565</x:v>
      </x:c>
      <x:c r="M12" s="24" t="n">
        <x:f>F12</x:f>
        <x:v>0.48866705711740793</x:v>
      </x:c>
      <x:c r="N12" s="23"/>
      <x:c r="O12" s="23"/>
      <x:c r="P12" s="23"/>
      <x:c r="Q12" s="23"/>
      <x:c r="R12" s="23"/>
      <x:c r="S12" s="23"/>
      <x:c r="T12" s="23"/>
      <x:c r="U12" s="23"/>
      <x:c r="V12" s="23"/>
    </x:row>
    <x:row r="13">
      <x:c r="A13" s="61" t="n">
        <x:f>_xlfn.RANK.EQ(F13,$F$7:$F$24,0)</x:f>
        <x:v>7</x:v>
      </x:c>
      <x:c r="B13" s="23" t="str">
        <x:v>sqrt</x:v>
      </x:c>
      <x:c r="C13" s="23" t="n">
        <x:f>COUNTIF('Alle Resultate'!$A$2:$A$361,B13)</x:f>
        <x:v>20</x:v>
      </x:c>
      <x:c r="D13" s="24" t="n">
        <x:f>AVERAGEIF('Alle Resultate'!$A$2:$A$361,B13,'Alle Resultate'!$I$2:$I$361)</x:f>
        <x:v>0.6687764914317789</x:v>
      </x:c>
      <x:c r="E13" s="24" t="n">
        <x:f>AVERAGEIF('Alle Resultate'!$A$2:$A$361,B13,'Alle Resultate'!$J$2:$J$361)</x:f>
        <x:v>0.3066062389988743</x:v>
      </x:c>
      <x:c r="F13" s="24" t="n">
        <x:f>AVERAGEIF('Alle Resultate'!$A$2:$A$361,B13,'Alle Resultate'!$K$2:$K$361)</x:f>
        <x:v>0.48769136521532674</x:v>
      </x:c>
      <x:c r="G13" s="24" t="n">
        <x:f>AVERAGEIF('Alle Resultate'!$A$2:$A$361,B13,'Alle Resultate'!$M$2:$M$361)</x:f>
        <x:v>0.6687903209470265</x:v>
      </x:c>
      <x:c r="H13" s="24" t="n">
        <x:f>AVERAGEIF('Alle Resultate'!$A$2:$A$361,B13,'Alle Resultate'!$N$2:$N$361)</x:f>
        <x:v>0.303066386469928</x:v>
      </x:c>
      <x:c r="I13" s="23"/>
      <x:c r="J13" s="23" t="str">
        <x:f>B13</x:f>
        <x:v>sqrt</x:v>
      </x:c>
      <x:c r="K13" s="24" t="n">
        <x:f>D13</x:f>
        <x:v>0.6687764914317789</x:v>
      </x:c>
      <x:c r="L13" s="24" t="n">
        <x:f>E13</x:f>
        <x:v>0.3066062389988743</x:v>
      </x:c>
      <x:c r="M13" s="24" t="n">
        <x:f>F13</x:f>
        <x:v>0.48769136521532674</x:v>
      </x:c>
      <x:c r="N13" s="23"/>
      <x:c r="O13" s="23"/>
      <x:c r="P13" s="23"/>
      <x:c r="Q13" s="23"/>
      <x:c r="R13" s="23"/>
      <x:c r="S13" s="23"/>
      <x:c r="T13" s="23"/>
      <x:c r="U13" s="23"/>
      <x:c r="V13" s="23"/>
    </x:row>
    <x:row r="14">
      <x:c r="A14" s="61" t="n">
        <x:f>_xlfn.RANK.EQ(F14,$F$7:$F$24,0)</x:f>
        <x:v>8</x:v>
      </x:c>
      <x:c r="B14" s="23" t="str">
        <x:v>l2</x:v>
      </x:c>
      <x:c r="C14" s="23" t="n">
        <x:f>COUNTIF('Alle Resultate'!$A$2:$A$361,B14)</x:f>
        <x:v>20</x:v>
      </x:c>
      <x:c r="D14" s="24" t="n">
        <x:f>AVERAGEIF('Alle Resultate'!$A$2:$A$361,B14,'Alle Resultate'!$I$2:$I$361)</x:f>
        <x:v>0.6686222435189919</x:v>
      </x:c>
      <x:c r="E14" s="24" t="n">
        <x:f>AVERAGEIF('Alle Resultate'!$A$2:$A$361,B14,'Alle Resultate'!$J$2:$J$361)</x:f>
        <x:v>0.2946317173617084</x:v>
      </x:c>
      <x:c r="F14" s="24" t="n">
        <x:f>AVERAGEIF('Alle Resultate'!$A$2:$A$361,B14,'Alle Resultate'!$K$2:$K$361)</x:f>
        <x:v>0.4816269804403503</x:v>
      </x:c>
      <x:c r="G14" s="24" t="n">
        <x:f>AVERAGEIF('Alle Resultate'!$A$2:$A$361,B14,'Alle Resultate'!$M$2:$M$361)</x:f>
        <x:v>0.6685911513515737</x:v>
      </x:c>
      <x:c r="H14" s="24" t="n">
        <x:f>AVERAGEIF('Alle Resultate'!$A$2:$A$361,B14,'Alle Resultate'!$N$2:$N$361)</x:f>
        <x:v>0.2903965031952368</x:v>
      </x:c>
      <x:c r="I14" s="23"/>
      <x:c r="J14" s="23" t="str">
        <x:f>B14</x:f>
        <x:v>l2</x:v>
      </x:c>
      <x:c r="K14" s="24" t="n">
        <x:f>D14</x:f>
        <x:v>0.6686222435189919</x:v>
      </x:c>
      <x:c r="L14" s="24" t="n">
        <x:f>E14</x:f>
        <x:v>0.2946317173617084</x:v>
      </x:c>
      <x:c r="M14" s="24" t="n">
        <x:f>F14</x:f>
        <x:v>0.4816269804403503</x:v>
      </x:c>
      <x:c r="N14" s="23"/>
      <x:c r="O14" s="23"/>
      <x:c r="P14" s="23"/>
      <x:c r="Q14" s="23"/>
      <x:c r="R14" s="23"/>
      <x:c r="S14" s="23"/>
      <x:c r="T14" s="23"/>
      <x:c r="U14" s="23"/>
      <x:c r="V14" s="23"/>
    </x:row>
    <x:row r="15">
      <x:c r="A15" s="61" t="n">
        <x:f>_xlfn.RANK.EQ(F15,$F$7:$F$24,0)</x:f>
        <x:v>9</x:v>
      </x:c>
      <x:c r="B15" s="23" t="str">
        <x:v>none</x:v>
      </x:c>
      <x:c r="C15" s="23" t="n">
        <x:f>COUNTIF('Alle Resultate'!$A$2:$A$361,B15)</x:f>
        <x:v>20</x:v>
      </x:c>
      <x:c r="D15" s="24" t="n">
        <x:f>AVERAGEIF('Alle Resultate'!$A$2:$A$361,B15,'Alle Resultate'!$I$2:$I$361)</x:f>
        <x:v>0.6619785688240538</x:v>
      </x:c>
      <x:c r="E15" s="24" t="n">
        <x:f>AVERAGEIF('Alle Resultate'!$A$2:$A$361,B15,'Alle Resultate'!$J$2:$J$361)</x:f>
        <x:v>0.29272830254636506</x:v>
      </x:c>
      <x:c r="F15" s="24" t="n">
        <x:f>AVERAGEIF('Alle Resultate'!$A$2:$A$361,B15,'Alle Resultate'!$K$2:$K$361)</x:f>
        <x:v>0.47735343568520944</x:v>
      </x:c>
      <x:c r="G15" s="24" t="n">
        <x:f>AVERAGEIF('Alle Resultate'!$A$2:$A$361,B15,'Alle Resultate'!$M$2:$M$361)</x:f>
        <x:v>0.6621744178498423</x:v>
      </x:c>
      <x:c r="H15" s="24" t="n">
        <x:f>AVERAGEIF('Alle Resultate'!$A$2:$A$361,B15,'Alle Resultate'!$N$2:$N$361)</x:f>
        <x:v>0.2905437974205397</x:v>
      </x:c>
      <x:c r="I15" s="23"/>
      <x:c r="J15" s="23" t="str">
        <x:f>B15</x:f>
        <x:v>none</x:v>
      </x:c>
      <x:c r="K15" s="24" t="n">
        <x:f>D15</x:f>
        <x:v>0.6619785688240538</x:v>
      </x:c>
      <x:c r="L15" s="24" t="n">
        <x:f>E15</x:f>
        <x:v>0.29272830254636506</x:v>
      </x:c>
      <x:c r="M15" s="24" t="n">
        <x:f>F15</x:f>
        <x:v>0.47735343568520944</x:v>
      </x:c>
      <x:c r="N15" s="23"/>
      <x:c r="O15" s="23"/>
      <x:c r="P15" s="23"/>
      <x:c r="Q15" s="23"/>
      <x:c r="R15" s="23"/>
      <x:c r="S15" s="23"/>
      <x:c r="T15" s="23"/>
      <x:c r="U15" s="23"/>
      <x:c r="V15" s="23"/>
    </x:row>
    <x:row r="16">
      <x:c r="A16" s="61" t="n">
        <x:f>_xlfn.RANK.EQ(F16,$F$7:$F$24,0)</x:f>
        <x:v>10</x:v>
      </x:c>
      <x:c r="B16" s="23" t="str">
        <x:v>log1p</x:v>
      </x:c>
      <x:c r="C16" s="23" t="n">
        <x:f>COUNTIF('Alle Resultate'!$A$2:$A$361,B16)</x:f>
        <x:v>20</x:v>
      </x:c>
      <x:c r="D16" s="24" t="n">
        <x:f>AVERAGEIF('Alle Resultate'!$A$2:$A$361,B16,'Alle Resultate'!$I$2:$I$361)</x:f>
        <x:v>0.6567883887181948</x:v>
      </x:c>
      <x:c r="E16" s="24" t="n">
        <x:f>AVERAGEIF('Alle Resultate'!$A$2:$A$361,B16,'Alle Resultate'!$J$2:$J$361)</x:f>
        <x:v>0.29452865116831306</x:v>
      </x:c>
      <x:c r="F16" s="24" t="n">
        <x:f>AVERAGEIF('Alle Resultate'!$A$2:$A$361,B16,'Alle Resultate'!$K$2:$K$361)</x:f>
        <x:v>0.47565851994325403</x:v>
      </x:c>
      <x:c r="G16" s="24" t="n">
        <x:f>AVERAGEIF('Alle Resultate'!$A$2:$A$361,B16,'Alle Resultate'!$M$2:$M$361)</x:f>
        <x:v>0.6567256841124662</x:v>
      </x:c>
      <x:c r="H16" s="24" t="n">
        <x:f>AVERAGEIF('Alle Resultate'!$A$2:$A$361,B16,'Alle Resultate'!$N$2:$N$361)</x:f>
        <x:v>0.2932967908868066</x:v>
      </x:c>
      <x:c r="I16" s="23"/>
      <x:c r="J16" s="23" t="str">
        <x:f>B16</x:f>
        <x:v>log1p</x:v>
      </x:c>
      <x:c r="K16" s="24" t="n">
        <x:f>D16</x:f>
        <x:v>0.6567883887181948</x:v>
      </x:c>
      <x:c r="L16" s="24" t="n">
        <x:f>E16</x:f>
        <x:v>0.29452865116831306</x:v>
      </x:c>
      <x:c r="M16" s="24" t="n">
        <x:f>F16</x:f>
        <x:v>0.47565851994325403</x:v>
      </x:c>
      <x:c r="N16" s="23"/>
      <x:c r="O16" s="23"/>
      <x:c r="P16" s="23"/>
      <x:c r="Q16" s="23"/>
      <x:c r="R16" s="23"/>
      <x:c r="S16" s="23"/>
      <x:c r="T16" s="23"/>
      <x:c r="U16" s="23"/>
      <x:c r="V16" s="23"/>
    </x:row>
    <x:row r="17">
      <x:c r="A17" s="61" t="n">
        <x:f>_xlfn.RANK.EQ(F17,$F$7:$F$24,0)</x:f>
        <x:v>11</x:v>
      </x:c>
      <x:c r="B17" s="23" t="str">
        <x:v>gaussian</x:v>
      </x:c>
      <x:c r="C17" s="23" t="n">
        <x:f>COUNTIF('Alle Resultate'!$A$2:$A$361,B17)</x:f>
        <x:v>20</x:v>
      </x:c>
      <x:c r="D17" s="24" t="n">
        <x:f>AVERAGEIF('Alle Resultate'!$A$2:$A$361,B17,'Alle Resultate'!$I$2:$I$361)</x:f>
        <x:v>0.6558668218670058</x:v>
      </x:c>
      <x:c r="E17" s="24" t="n">
        <x:f>AVERAGEIF('Alle Resultate'!$A$2:$A$361,B17,'Alle Resultate'!$J$2:$J$361)</x:f>
        <x:v>0.28777369577293027</x:v>
      </x:c>
      <x:c r="F17" s="24" t="n">
        <x:f>AVERAGEIF('Alle Resultate'!$A$2:$A$361,B17,'Alle Resultate'!$K$2:$K$361)</x:f>
        <x:v>0.471820258819968</x:v>
      </x:c>
      <x:c r="G17" s="24" t="n">
        <x:f>AVERAGEIF('Alle Resultate'!$A$2:$A$361,B17,'Alle Resultate'!$M$2:$M$361)</x:f>
        <x:v>0.6561237991776723</x:v>
      </x:c>
      <x:c r="H17" s="24" t="n">
        <x:f>AVERAGEIF('Alle Resultate'!$A$2:$A$361,B17,'Alle Resultate'!$N$2:$N$361)</x:f>
        <x:v>0.2844102641618741</x:v>
      </x:c>
      <x:c r="I17" s="23"/>
      <x:c r="J17" s="23" t="str">
        <x:f>B17</x:f>
        <x:v>gaussian</x:v>
      </x:c>
      <x:c r="K17" s="24" t="n">
        <x:f>D17</x:f>
        <x:v>0.6558668218670058</x:v>
      </x:c>
      <x:c r="L17" s="24" t="n">
        <x:f>E17</x:f>
        <x:v>0.28777369577293027</x:v>
      </x:c>
      <x:c r="M17" s="24" t="n">
        <x:f>F17</x:f>
        <x:v>0.471820258819968</x:v>
      </x:c>
      <x:c r="N17" s="23"/>
      <x:c r="O17" s="23"/>
      <x:c r="P17" s="23"/>
      <x:c r="Q17" s="23"/>
      <x:c r="R17" s="23"/>
      <x:c r="S17" s="23"/>
      <x:c r="T17" s="23"/>
      <x:c r="U17" s="23"/>
      <x:c r="V17" s="23"/>
    </x:row>
    <x:row r="18">
      <x:c r="A18" s="61" t="n">
        <x:f>_xlfn.RANK.EQ(F18,$F$7:$F$24,0)</x:f>
        <x:v>12</x:v>
      </x:c>
      <x:c r="B18" s="23" t="str">
        <x:v>moving_average</x:v>
      </x:c>
      <x:c r="C18" s="23" t="n">
        <x:f>COUNTIF('Alle Resultate'!$A$2:$A$361,B18)</x:f>
        <x:v>20</x:v>
      </x:c>
      <x:c r="D18" s="24" t="n">
        <x:f>AVERAGEIF('Alle Resultate'!$A$2:$A$361,B18,'Alle Resultate'!$I$2:$I$361)</x:f>
        <x:v>0.6521195846864398</x:v>
      </x:c>
      <x:c r="E18" s="24" t="n">
        <x:f>AVERAGEIF('Alle Resultate'!$A$2:$A$361,B18,'Alle Resultate'!$J$2:$J$361)</x:f>
        <x:v>0.28725534540314823</x:v>
      </x:c>
      <x:c r="F18" s="24" t="n">
        <x:f>AVERAGEIF('Alle Resultate'!$A$2:$A$361,B18,'Alle Resultate'!$K$2:$K$361)</x:f>
        <x:v>0.46968746504479403</x:v>
      </x:c>
      <x:c r="G18" s="24" t="n">
        <x:f>AVERAGEIF('Alle Resultate'!$A$2:$A$361,B18,'Alle Resultate'!$M$2:$M$361)</x:f>
        <x:v>0.6521685250756518</x:v>
      </x:c>
      <x:c r="H18" s="24" t="n">
        <x:f>AVERAGEIF('Alle Resultate'!$A$2:$A$361,B18,'Alle Resultate'!$N$2:$N$361)</x:f>
        <x:v>0.28478172668834373</x:v>
      </x:c>
      <x:c r="I18" s="23"/>
      <x:c r="J18" s="23" t="str">
        <x:f>B18</x:f>
        <x:v>moving_average</x:v>
      </x:c>
      <x:c r="K18" s="24" t="n">
        <x:f>D18</x:f>
        <x:v>0.6521195846864398</x:v>
      </x:c>
      <x:c r="L18" s="24" t="n">
        <x:f>E18</x:f>
        <x:v>0.28725534540314823</x:v>
      </x:c>
      <x:c r="M18" s="24" t="n">
        <x:f>F18</x:f>
        <x:v>0.46968746504479403</x:v>
      </x:c>
      <x:c r="N18" s="23"/>
      <x:c r="O18" s="23"/>
      <x:c r="P18" s="23"/>
      <x:c r="Q18" s="23"/>
      <x:c r="R18" s="23"/>
      <x:c r="S18" s="23"/>
      <x:c r="T18" s="23"/>
      <x:c r="U18" s="23"/>
      <x:c r="V18" s="23"/>
    </x:row>
    <x:row r="19">
      <x:c r="A19" s="61" t="n">
        <x:f>_xlfn.RANK.EQ(F19,$F$7:$F$24,0)</x:f>
        <x:v>13</x:v>
      </x:c>
      <x:c r="B19" s="23" t="str">
        <x:v>savgol</x:v>
      </x:c>
      <x:c r="C19" s="23" t="n">
        <x:f>COUNTIF('Alle Resultate'!$A$2:$A$361,B19)</x:f>
        <x:v>20</x:v>
      </x:c>
      <x:c r="D19" s="24" t="n">
        <x:f>AVERAGEIF('Alle Resultate'!$A$2:$A$361,B19,'Alle Resultate'!$I$2:$I$361)</x:f>
        <x:v>0.6516508877941718</x:v>
      </x:c>
      <x:c r="E19" s="24" t="n">
        <x:f>AVERAGEIF('Alle Resultate'!$A$2:$A$361,B19,'Alle Resultate'!$J$2:$J$361)</x:f>
        <x:v>0.28570259969118666</x:v>
      </x:c>
      <x:c r="F19" s="24" t="n">
        <x:f>AVERAGEIF('Alle Resultate'!$A$2:$A$361,B19,'Alle Resultate'!$K$2:$K$361)</x:f>
        <x:v>0.46867674374267915</x:v>
      </x:c>
      <x:c r="G19" s="24" t="n">
        <x:f>AVERAGEIF('Alle Resultate'!$A$2:$A$361,B19,'Alle Resultate'!$M$2:$M$361)</x:f>
        <x:v>0.6517333845023835</x:v>
      </x:c>
      <x:c r="H19" s="24" t="n">
        <x:f>AVERAGEIF('Alle Resultate'!$A$2:$A$361,B19,'Alle Resultate'!$N$2:$N$361)</x:f>
        <x:v>0.2835896906415316</x:v>
      </x:c>
      <x:c r="I19" s="23"/>
      <x:c r="J19" s="23" t="str">
        <x:f>B19</x:f>
        <x:v>savgol</x:v>
      </x:c>
      <x:c r="K19" s="24" t="n">
        <x:f>D19</x:f>
        <x:v>0.6516508877941718</x:v>
      </x:c>
      <x:c r="L19" s="24" t="n">
        <x:f>E19</x:f>
        <x:v>0.28570259969118666</x:v>
      </x:c>
      <x:c r="M19" s="24" t="n">
        <x:f>F19</x:f>
        <x:v>0.46867674374267915</x:v>
      </x:c>
      <x:c r="N19" s="23"/>
      <x:c r="O19" s="23"/>
      <x:c r="P19" s="23"/>
      <x:c r="Q19" s="23"/>
      <x:c r="R19" s="23"/>
      <x:c r="S19" s="23"/>
      <x:c r="T19" s="23"/>
      <x:c r="U19" s="23"/>
      <x:c r="V19" s="23"/>
    </x:row>
    <x:row r="20">
      <x:c r="A20" s="61" t="n">
        <x:f>_xlfn.RANK.EQ(F20,$F$7:$F$24,0)</x:f>
        <x:v>14</x:v>
      </x:c>
      <x:c r="B20" s="23" t="str">
        <x:v>area</x:v>
      </x:c>
      <x:c r="C20" s="23" t="n">
        <x:f>COUNTIF('Alle Resultate'!$A$2:$A$361,B20)</x:f>
        <x:v>20</x:v>
      </x:c>
      <x:c r="D20" s="24" t="n">
        <x:f>AVERAGEIF('Alle Resultate'!$A$2:$A$361,B20,'Alle Resultate'!$I$2:$I$361)</x:f>
        <x:v>0.6565012627336638</x:v>
      </x:c>
      <x:c r="E20" s="24" t="n">
        <x:f>AVERAGEIF('Alle Resultate'!$A$2:$A$361,B20,'Alle Resultate'!$J$2:$J$361)</x:f>
        <x:v>0.2759606848704007</x:v>
      </x:c>
      <x:c r="F20" s="24" t="n">
        <x:f>AVERAGEIF('Alle Resultate'!$A$2:$A$361,B20,'Alle Resultate'!$K$2:$K$361)</x:f>
        <x:v>0.46623097380203216</x:v>
      </x:c>
      <x:c r="G20" s="24" t="n">
        <x:f>AVERAGEIF('Alle Resultate'!$A$2:$A$361,B20,'Alle Resultate'!$M$2:$M$361)</x:f>
        <x:v>0.6564816063097675</x:v>
      </x:c>
      <x:c r="H20" s="24" t="n">
        <x:f>AVERAGEIF('Alle Resultate'!$A$2:$A$361,B20,'Alle Resultate'!$N$2:$N$361)</x:f>
        <x:v>0.27131563412834636</x:v>
      </x:c>
      <x:c r="I20" s="23"/>
      <x:c r="J20" s="23" t="str">
        <x:f>B20</x:f>
        <x:v>area</x:v>
      </x:c>
      <x:c r="K20" s="24" t="n">
        <x:f>D20</x:f>
        <x:v>0.6565012627336638</x:v>
      </x:c>
      <x:c r="L20" s="24" t="n">
        <x:f>E20</x:f>
        <x:v>0.2759606848704007</x:v>
      </x:c>
      <x:c r="M20" s="24" t="n">
        <x:f>F20</x:f>
        <x:v>0.46623097380203216</x:v>
      </x:c>
      <x:c r="N20" s="23"/>
      <x:c r="O20" s="23"/>
      <x:c r="P20" s="23"/>
      <x:c r="Q20" s="23"/>
      <x:c r="R20" s="23"/>
      <x:c r="S20" s="23"/>
      <x:c r="T20" s="23"/>
      <x:c r="U20" s="23"/>
      <x:c r="V20" s="23"/>
    </x:row>
    <x:row r="21">
      <x:c r="A21" s="61" t="n">
        <x:f>_xlfn.RANK.EQ(F21,$F$7:$F$24,0)</x:f>
        <x:v>15</x:v>
      </x:c>
      <x:c r="B21" s="23" t="str">
        <x:v>pqn</x:v>
      </x:c>
      <x:c r="C21" s="23" t="n">
        <x:f>COUNTIF('Alle Resultate'!$A$2:$A$361,B21)</x:f>
        <x:v>20</x:v>
      </x:c>
      <x:c r="D21" s="24" t="n">
        <x:f>AVERAGEIF('Alle Resultate'!$A$2:$A$361,B21,'Alle Resultate'!$I$2:$I$361)</x:f>
        <x:v>0.6548913092500148</x:v>
      </x:c>
      <x:c r="E21" s="24" t="n">
        <x:f>AVERAGEIF('Alle Resultate'!$A$2:$A$361,B21,'Alle Resultate'!$J$2:$J$361)</x:f>
        <x:v>0.27401557408329064</x:v>
      </x:c>
      <x:c r="F21" s="24" t="n">
        <x:f>AVERAGEIF('Alle Resultate'!$A$2:$A$361,B21,'Alle Resultate'!$K$2:$K$361)</x:f>
        <x:v>0.4644534416666527</x:v>
      </x:c>
      <x:c r="G21" s="24" t="n">
        <x:f>AVERAGEIF('Alle Resultate'!$A$2:$A$361,B21,'Alle Resultate'!$M$2:$M$361)</x:f>
        <x:v>0.6547763438348756</x:v>
      </x:c>
      <x:c r="H21" s="24" t="n">
        <x:f>AVERAGEIF('Alle Resultate'!$A$2:$A$361,B21,'Alle Resultate'!$N$2:$N$361)</x:f>
        <x:v>0.2704981227050999</x:v>
      </x:c>
      <x:c r="I21" s="23"/>
      <x:c r="J21" s="23" t="str">
        <x:f>B21</x:f>
        <x:v>pqn</x:v>
      </x:c>
      <x:c r="K21" s="24" t="n">
        <x:f>D21</x:f>
        <x:v>0.6548913092500148</x:v>
      </x:c>
      <x:c r="L21" s="24" t="n">
        <x:f>E21</x:f>
        <x:v>0.27401557408329064</x:v>
      </x:c>
      <x:c r="M21" s="24" t="n">
        <x:f>F21</x:f>
        <x:v>0.4644534416666527</x:v>
      </x:c>
      <x:c r="N21" s="23"/>
      <x:c r="O21" s="23"/>
      <x:c r="P21" s="23"/>
      <x:c r="Q21" s="23"/>
      <x:c r="R21" s="23"/>
      <x:c r="S21" s="23"/>
      <x:c r="T21" s="23"/>
      <x:c r="U21" s="23"/>
      <x:c r="V21" s="23"/>
    </x:row>
    <x:row r="22">
      <x:c r="A22" s="61" t="n">
        <x:f>_xlfn.RANK.EQ(F22,$F$7:$F$24,0)</x:f>
        <x:v>16</x:v>
      </x:c>
      <x:c r="B22" s="23" t="str">
        <x:v>quantile</x:v>
      </x:c>
      <x:c r="C22" s="23" t="n">
        <x:f>COUNTIF('Alle Resultate'!$A$2:$A$361,B22)</x:f>
        <x:v>20</x:v>
      </x:c>
      <x:c r="D22" s="24" t="n">
        <x:f>AVERAGEIF('Alle Resultate'!$A$2:$A$361,B22,'Alle Resultate'!$I$2:$I$361)</x:f>
        <x:v>0.639430796479743</x:v>
      </x:c>
      <x:c r="E22" s="24" t="n">
        <x:f>AVERAGEIF('Alle Resultate'!$A$2:$A$361,B22,'Alle Resultate'!$J$2:$J$361)</x:f>
        <x:v>0.27977928954885023</x:v>
      </x:c>
      <x:c r="F22" s="24" t="n">
        <x:f>AVERAGEIF('Alle Resultate'!$A$2:$A$361,B22,'Alle Resultate'!$K$2:$K$361)</x:f>
        <x:v>0.4596050430142967</x:v>
      </x:c>
      <x:c r="G22" s="24" t="n">
        <x:f>AVERAGEIF('Alle Resultate'!$A$2:$A$361,B22,'Alle Resultate'!$M$2:$M$361)</x:f>
        <x:v>0.6394667189045045</x:v>
      </x:c>
      <x:c r="H22" s="24" t="n">
        <x:f>AVERAGEIF('Alle Resultate'!$A$2:$A$361,B22,'Alle Resultate'!$N$2:$N$361)</x:f>
        <x:v>0.2778377901781784</x:v>
      </x:c>
      <x:c r="I22" s="23"/>
      <x:c r="J22" s="23" t="str">
        <x:f>B22</x:f>
        <x:v>quantile</x:v>
      </x:c>
      <x:c r="K22" s="24" t="n">
        <x:f>D22</x:f>
        <x:v>0.639430796479743</x:v>
      </x:c>
      <x:c r="L22" s="24" t="n">
        <x:f>E22</x:f>
        <x:v>0.27977928954885023</x:v>
      </x:c>
      <x:c r="M22" s="24" t="n">
        <x:f>F22</x:f>
        <x:v>0.4596050430142967</x:v>
      </x:c>
      <x:c r="N22" s="23"/>
      <x:c r="O22" s="23"/>
      <x:c r="P22" s="23"/>
      <x:c r="Q22" s="23"/>
      <x:c r="R22" s="23"/>
      <x:c r="S22" s="23"/>
      <x:c r="T22" s="23"/>
      <x:c r="U22" s="23"/>
      <x:c r="V22" s="23"/>
    </x:row>
    <x:row r="23">
      <x:c r="A23" s="61" t="n">
        <x:f>_xlfn.RANK.EQ(F23,$F$7:$F$24,0)</x:f>
        <x:v>17</x:v>
      </x:c>
      <x:c r="B23" s="23" t="str">
        <x:v>lorentz</x:v>
      </x:c>
      <x:c r="C23" s="23" t="n">
        <x:f>COUNTIF('Alle Resultate'!$A$2:$A$361,B23)</x:f>
        <x:v>20</x:v>
      </x:c>
      <x:c r="D23" s="24" t="n">
        <x:f>AVERAGEIF('Alle Resultate'!$A$2:$A$361,B23,'Alle Resultate'!$I$2:$I$361)</x:f>
        <x:v>0.638216391571537</x:v>
      </x:c>
      <x:c r="E23" s="24" t="n">
        <x:f>AVERAGEIF('Alle Resultate'!$A$2:$A$361,B23,'Alle Resultate'!$J$2:$J$361)</x:f>
        <x:v>0.2795763284717874</x:v>
      </x:c>
      <x:c r="F23" s="24" t="n">
        <x:f>AVERAGEIF('Alle Resultate'!$A$2:$A$361,B23,'Alle Resultate'!$K$2:$K$361)</x:f>
        <x:v>0.4588963600216622</x:v>
      </x:c>
      <x:c r="G23" s="24" t="n">
        <x:f>AVERAGEIF('Alle Resultate'!$A$2:$A$361,B23,'Alle Resultate'!$M$2:$M$361)</x:f>
        <x:v>0.6384581932049734</x:v>
      </x:c>
      <x:c r="H23" s="24" t="n">
        <x:f>AVERAGEIF('Alle Resultate'!$A$2:$A$361,B23,'Alle Resultate'!$N$2:$N$361)</x:f>
        <x:v>0.27625839169008143</x:v>
      </x:c>
      <x:c r="I23" s="23"/>
      <x:c r="J23" s="23" t="str">
        <x:f>B23</x:f>
        <x:v>lorentz</x:v>
      </x:c>
      <x:c r="K23" s="24" t="n">
        <x:f>D23</x:f>
        <x:v>0.638216391571537</x:v>
      </x:c>
      <x:c r="L23" s="24" t="n">
        <x:f>E23</x:f>
        <x:v>0.2795763284717874</x:v>
      </x:c>
      <x:c r="M23" s="24" t="n">
        <x:f>F23</x:f>
        <x:v>0.4588963600216622</x:v>
      </x:c>
      <x:c r="N23" s="23"/>
      <x:c r="O23" s="23"/>
      <x:c r="P23" s="23"/>
      <x:c r="Q23" s="23"/>
      <x:c r="R23" s="23"/>
      <x:c r="S23" s="23"/>
      <x:c r="T23" s="23"/>
      <x:c r="U23" s="23"/>
      <x:c r="V23" s="23"/>
    </x:row>
    <x:row r="24">
      <x:c r="A24" s="62" t="n">
        <x:f>_xlfn.RANK.EQ(F24,$F$7:$F$24,0)</x:f>
        <x:v>18</x:v>
      </x:c>
      <x:c r="B24" s="63" t="str">
        <x:v>derivative</x:v>
      </x:c>
      <x:c r="C24" s="63" t="n">
        <x:f>COUNTIF('Alle Resultate'!$A$2:$A$361,B24)</x:f>
        <x:v>20</x:v>
      </x:c>
      <x:c r="D24" s="64" t="n">
        <x:f>AVERAGEIF('Alle Resultate'!$A$2:$A$361,B24,'Alle Resultate'!$I$2:$I$361)</x:f>
        <x:v>0.6386466248776814</x:v>
      </x:c>
      <x:c r="E24" s="64" t="n">
        <x:f>AVERAGEIF('Alle Resultate'!$A$2:$A$361,B24,'Alle Resultate'!$J$2:$J$361)</x:f>
        <x:v>0.26865010245186155</x:v>
      </x:c>
      <x:c r="F24" s="64" t="n">
        <x:f>AVERAGEIF('Alle Resultate'!$A$2:$A$361,B24,'Alle Resultate'!$K$2:$K$361)</x:f>
        <x:v>0.45364836366477135</x:v>
      </x:c>
      <x:c r="G24" s="64" t="n">
        <x:f>AVERAGEIF('Alle Resultate'!$A$2:$A$361,B24,'Alle Resultate'!$M$2:$M$361)</x:f>
        <x:v>0.6386906550333894</x:v>
      </x:c>
      <x:c r="H24" s="64" t="n">
        <x:f>AVERAGEIF('Alle Resultate'!$A$2:$A$361,B24,'Alle Resultate'!$N$2:$N$361)</x:f>
        <x:v>0.2659860355693259</x:v>
      </x:c>
      <x:c r="I24" s="23"/>
      <x:c r="J24" s="23" t="str">
        <x:f>B24</x:f>
        <x:v>derivative</x:v>
      </x:c>
      <x:c r="K24" s="24" t="n">
        <x:f>D24</x:f>
        <x:v>0.6386466248776814</x:v>
      </x:c>
      <x:c r="L24" s="24" t="n">
        <x:f>E24</x:f>
        <x:v>0.26865010245186155</x:v>
      </x:c>
      <x:c r="M24" s="24" t="n">
        <x:f>F24</x:f>
        <x:v>0.45364836366477135</x:v>
      </x:c>
      <x:c r="N24" s="23"/>
      <x:c r="O24" s="23"/>
      <x:c r="P24" s="23"/>
      <x:c r="Q24" s="23"/>
      <x:c r="R24" s="23"/>
      <x:c r="S24" s="23"/>
      <x:c r="T24" s="23"/>
      <x:c r="U24" s="23"/>
      <x:c r="V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</x:row>
    <x:row r="27">
      <x:c r="A27" s="17" t="str">
        <x:v>Kernaussage</x:v>
      </x:c>
      <x:c r="B27" s="18" t="str">
        <x:v>Wert</x:v>
      </x:c>
      <x:c r="C27" s="18" t="str">
        <x:v>Definition</x:v>
      </x:c>
      <x:c r="D27" s="19" t="str">
        <x:v>Hinweis</x:v>
      </x:c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</x:row>
    <x:row r="28">
      <x:c r="A28" s="23" t="str">
        <x:v>Bester Parameter gesamt</x:v>
      </x:c>
      <x:c r="B28" s="65" t="str">
        <x:v>fir</x:v>
      </x:c>
      <x:c r="C28" s="23" t="str">
        <x:v>höchster Ø Val F1 blend</x:v>
      </x:c>
      <x:c r="D28" s="23" t="str">
        <x:v>Blend = (micro + macro) / 2</x:v>
      </x:c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</x:row>
    <x:row r="29">
      <x:c r="A29" s="23" t="str">
        <x:v>Vollständig ausgewertet</x:v>
      </x:c>
      <x:c r="B29" s="65" t="n">
        <x:v>18</x:v>
      </x:c>
      <x:c r="C29" s="23" t="str">
        <x:v>Preprocessing-Parameter</x:v>
      </x:c>
      <x:c r="D29" s="23" t="str">
        <x:v>je 20 Resultate</x:v>
      </x:c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</x:row>
    <x:row r="30">
      <x:c r="A30" s="23" t="str">
        <x:v>Resultate im Vergleich</x:v>
      </x:c>
      <x:c r="B30" s="65" t="n">
        <x:v>360</x:v>
      </x:c>
      <x:c r="C30" s="23" t="str">
        <x:v>18 × 4 Modelle × 5 Spektren</x:v>
      </x:c>
      <x:c r="D30" s="23" t="str">
        <x:v>alle geplanten Runs abgeschlossen</x:v>
      </x:c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</x:row>
    <x:row r="31">
      <x:c r="A31" s="63" t="str">
        <x:v>Fehlende Felder</x:v>
      </x:c>
      <x:c r="B31" s="63" t="str">
        <x:v>leer</x:v>
      </x:c>
      <x:c r="C31" s="63" t="str">
        <x:v>nicht vom jeweiligen Trainer gespeichert</x:v>
      </x:c>
      <x:c r="D31" s="63" t="str">
        <x:v>keine Schätzung/Null-Auffüllung</x:v>
      </x:c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</x:row>
    <x:row r="34">
      <x:c r="A34" s="17" t="str">
        <x:v>Spitzenwert</x:v>
      </x:c>
      <x:c r="B34" s="18" t="str">
        <x:v>Wert</x:v>
      </x:c>
      <x:c r="C34" s="18" t="str">
        <x:v>Preprocessing</x:v>
      </x:c>
      <x:c r="D34" s="18" t="str">
        <x:v>ML-Modell</x:v>
      </x:c>
      <x:c r="E34" s="19" t="str">
        <x:v>Spektrum</x:v>
      </x:c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</x:row>
    <x:row r="35">
      <x:c r="A35" s="23" t="str">
        <x:v>Beste Validation F1 micro</x:v>
      </x:c>
      <x:c r="B35" s="66" t="n">
        <x:f>MAX('Alle Resultate'!$I$2:$I$361)</x:f>
        <x:v>0.8945319301758663</x:v>
      </x:c>
      <x:c r="C35" s="65" t="str">
        <x:f>INDEX('Alle Resultate'!$A$2:$A$361,MATCH(B35,'Alle Resultate'!$I$2:$I$361,0))</x:f>
        <x:v>snv</x:v>
      </x:c>
      <x:c r="D35" s="65" t="str">
        <x:f>INDEX('Alle Resultate'!$C$2:$C$361,MATCH(B35,'Alle Resultate'!$I$2:$I$361,0))</x:f>
        <x:v>cnn</x:v>
      </x:c>
      <x:c r="E35" s="65" t="str">
        <x:f>INDEX('Alle Resultate'!$B$2:$B$361,MATCH(B35,'Alle Resultate'!$I$2:$I$361,0))</x:f>
        <x:v>ir</x:v>
      </x:c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</x:row>
    <x:row r="36">
      <x:c r="A36" s="23" t="str">
        <x:v>Beste Validation F1 macro</x:v>
      </x:c>
      <x:c r="B36" s="66" t="n">
        <x:f>MAX('Alle Resultate'!$J$2:$J$361)</x:f>
        <x:v>0.716</x:v>
      </x:c>
      <x:c r="C36" s="65" t="str">
        <x:f>INDEX('Alle Resultate'!$A$2:$A$361,MATCH(B36,'Alle Resultate'!$J$2:$J$361,0))</x:f>
        <x:v>gaussian</x:v>
      </x:c>
      <x:c r="D36" s="65" t="str">
        <x:f>INDEX('Alle Resultate'!$C$2:$C$361,MATCH(B36,'Alle Resultate'!$J$2:$J$361,0))</x:f>
        <x:v>mps</x:v>
      </x:c>
      <x:c r="E36" s="65" t="str">
        <x:f>INDEX('Alle Resultate'!$B$2:$B$361,MATCH(B36,'Alle Resultate'!$J$2:$J$361,0))</x:f>
        <x:v>ir</x:v>
      </x:c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</x:row>
    <x:row r="37">
      <x:c r="A37" s="23" t="str">
        <x:v>Beste Test F1 micro</x:v>
      </x:c>
      <x:c r="B37" s="66" t="n">
        <x:f>MAX('Alle Resultate'!$M$2:$M$361)</x:f>
        <x:v>0.8952178573955063</x:v>
      </x:c>
      <x:c r="C37" s="65" t="str">
        <x:f>INDEX('Alle Resultate'!$A$2:$A$361,MATCH(B37,'Alle Resultate'!$M$2:$M$361,0))</x:f>
        <x:v>snv</x:v>
      </x:c>
      <x:c r="D37" s="65" t="str">
        <x:f>INDEX('Alle Resultate'!$C$2:$C$361,MATCH(B37,'Alle Resultate'!$M$2:$M$361,0))</x:f>
        <x:v>cnn</x:v>
      </x:c>
      <x:c r="E37" s="65" t="str">
        <x:f>INDEX('Alle Resultate'!$B$2:$B$361,MATCH(B37,'Alle Resultate'!$M$2:$M$361,0))</x:f>
        <x:v>ir</x:v>
      </x:c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</x:row>
    <x:row r="38">
      <x:c r="A38" s="63" t="str">
        <x:v>Beste Test F1 macro</x:v>
      </x:c>
      <x:c r="B38" s="67" t="n">
        <x:f>MAX('Alle Resultate'!$N$2:$N$361)</x:f>
        <x:v>0.7300545493055782</x:v>
      </x:c>
      <x:c r="C38" s="68" t="str">
        <x:f>INDEX('Alle Resultate'!$A$2:$A$361,MATCH(B38,'Alle Resultate'!$N$2:$N$361,0))</x:f>
        <x:v>fir</x:v>
      </x:c>
      <x:c r="D38" s="68" t="str">
        <x:f>INDEX('Alle Resultate'!$C$2:$C$361,MATCH(B38,'Alle Resultate'!$N$2:$N$361,0))</x:f>
        <x:v>mps</x:v>
      </x:c>
      <x:c r="E38" s="68" t="str">
        <x:f>INDEX('Alle Resultate'!$B$2:$B$361,MATCH(B38,'Alle Resultate'!$N$2:$N$361,0))</x:f>
        <x:v>ir</x:v>
      </x:c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</x:row>
  </x:sheetData>
  <x:conditionalFormatting sqref="F7:F24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drawing xmlns:r="http://schemas.openxmlformats.org/officeDocument/2006/relationships" r:id="R5e5a0106062b4716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8" hidden="0" customWidth="1"/>
  </x:cols>
  <x:sheetData>
    <x:row r="2">
      <x:c r="A2" s="55" t="str">
        <x:v>Direktvergleich je ML-Modell und Spektrum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</x:row>
    <x:row r="3">
      <x:c r="A3" s="56" t="str">
        <x:v>Bestes Preprocessing wird nach Validation F1 blend bestimmt</x:v>
      </x:c>
      <x:c r="B3" s="56"/>
      <x:c r="C3" s="56"/>
      <x:c r="D3" s="56"/>
      <x:c r="E3" s="56"/>
      <x:c r="F3" s="56"/>
      <x:c r="G3" s="56"/>
      <x:c r="H3" s="56"/>
      <x:c r="I3" s="56"/>
      <x:c r="J3" s="56"/>
      <x:c r="K3" s="56"/>
      <x:c r="L3" s="56"/>
      <x:c r="M3" s="56"/>
      <x:c r="N3" s="56"/>
      <x:c r="O3" s="56"/>
      <x:c r="P3" s="56"/>
      <x:c r="Q3" s="56"/>
      <x:c r="R3" s="56"/>
      <x:c r="S3" s="56"/>
      <x:c r="T3" s="56"/>
      <x:c r="U3" s="56"/>
      <x:c r="V3" s="56"/>
    </x:row>
    <x:row r="4">
      <x:c r="A4" s="57"/>
      <x:c r="B4" s="57"/>
      <x:c r="C4" s="57"/>
      <x:c r="D4" s="57"/>
      <x:c r="E4" s="57"/>
      <x:c r="F4" s="57"/>
      <x:c r="G4" s="57"/>
      <x:c r="H4" s="57"/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  <x:c r="V4" s="57"/>
    </x:row>
    <x:row r="5">
      <x:c r="A5" s="23"/>
      <x:c r="B5" s="23"/>
      <x:c r="C5" s="23"/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</x:row>
    <x:row r="6">
      <x:c r="A6" s="55" t="str">
        <x:v>Validation F1 blend</x:v>
      </x:c>
      <x:c r="B6" s="23"/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</x:row>
    <x:row r="7">
      <x:c r="A7" s="23"/>
      <x:c r="B7" s="23"/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</x:row>
    <x:row r="8">
      <x:c r="A8" s="17" t="str">
        <x:v>ML-Modell</x:v>
      </x:c>
      <x:c r="B8" s="18" t="str">
        <x:v>Spektrum</x:v>
      </x:c>
      <x:c r="C8" s="18" t="str">
        <x:v>none</x:v>
      </x:c>
      <x:c r="D8" s="18" t="str">
        <x:v>snv</x:v>
      </x:c>
      <x:c r="E8" s="18" t="str">
        <x:v>minmax</x:v>
      </x:c>
      <x:c r="F8" s="18" t="str">
        <x:v>max</x:v>
      </x:c>
      <x:c r="G8" s="18" t="str">
        <x:v>area</x:v>
      </x:c>
      <x:c r="H8" s="18" t="str">
        <x:v>l2</x:v>
      </x:c>
      <x:c r="I8" s="18" t="str">
        <x:v>quantile</x:v>
      </x:c>
      <x:c r="J8" s="18" t="str">
        <x:v>pqn</x:v>
      </x:c>
      <x:c r="K8" s="18" t="str">
        <x:v>savgol</x:v>
      </x:c>
      <x:c r="L8" s="18" t="str">
        <x:v>gaussian</x:v>
      </x:c>
      <x:c r="M8" s="18" t="str">
        <x:v>moving_average</x:v>
      </x:c>
      <x:c r="N8" s="18" t="str">
        <x:v>lorentz</x:v>
      </x:c>
      <x:c r="O8" s="18" t="str">
        <x:v>sqrt</x:v>
      </x:c>
      <x:c r="P8" s="18" t="str">
        <x:v>log1p</x:v>
      </x:c>
      <x:c r="Q8" s="18" t="str">
        <x:v>derivative</x:v>
      </x:c>
      <x:c r="R8" s="18" t="str">
        <x:v>bin_mean</x:v>
      </x:c>
      <x:c r="S8" s="18" t="str">
        <x:v>bin_max</x:v>
      </x:c>
      <x:c r="T8" s="18" t="str">
        <x:v>fir</x:v>
      </x:c>
      <x:c r="U8" s="18" t="str">
        <x:v>Bestwert</x:v>
      </x:c>
      <x:c r="V8" s="19" t="str">
        <x:v>Bester Parameter</x:v>
      </x:c>
    </x:row>
    <x:row r="9">
      <x:c r="A9" s="23" t="str">
        <x:v>cnn</x:v>
      </x:c>
      <x:c r="B9" s="23" t="str">
        <x:v>cnmr</x:v>
      </x:c>
      <x:c r="C9" s="24" t="n">
        <x:f>AVERAGEIFS('Alle Resultate'!$K$2:$K$361,'Alle Resultate'!$A$2:$A$361,C$8,'Alle Resultate'!$B$2:$B$361,$B9,'Alle Resultate'!$C$2:$C$361,$A9)</x:f>
        <x:v>0.3056574289898154</x:v>
      </x:c>
      <x:c r="D9" s="24" t="n">
        <x:f>AVERAGEIFS('Alle Resultate'!$K$2:$K$361,'Alle Resultate'!$A$2:$A$361,D$8,'Alle Resultate'!$B$2:$B$361,$B9,'Alle Resultate'!$C$2:$C$361,$A9)</x:f>
        <x:v>0.5565136705777908</x:v>
      </x:c>
      <x:c r="E9" s="24" t="n">
        <x:f>AVERAGEIFS('Alle Resultate'!$K$2:$K$361,'Alle Resultate'!$A$2:$A$361,E$8,'Alle Resultate'!$B$2:$B$361,$B9,'Alle Resultate'!$C$2:$C$361,$A9)</x:f>
        <x:v>0.4547294182469752</x:v>
      </x:c>
      <x:c r="F9" s="24" t="n">
        <x:f>AVERAGEIFS('Alle Resultate'!$K$2:$K$361,'Alle Resultate'!$A$2:$A$361,F$8,'Alle Resultate'!$B$2:$B$361,$B9,'Alle Resultate'!$C$2:$C$361,$A9)</x:f>
        <x:v>0.45811445511705345</x:v>
      </x:c>
      <x:c r="G9" s="24" t="n">
        <x:f>AVERAGEIFS('Alle Resultate'!$K$2:$K$361,'Alle Resultate'!$A$2:$A$361,G$8,'Alle Resultate'!$B$2:$B$361,$B9,'Alle Resultate'!$C$2:$C$361,$A9)</x:f>
        <x:v>0.39030224281240483</x:v>
      </x:c>
      <x:c r="H9" s="24" t="n">
        <x:f>AVERAGEIFS('Alle Resultate'!$K$2:$K$361,'Alle Resultate'!$A$2:$A$361,H$8,'Alle Resultate'!$B$2:$B$361,$B9,'Alle Resultate'!$C$2:$C$361,$A9)</x:f>
        <x:v>0.3340596585876381</x:v>
      </x:c>
      <x:c r="I9" s="24" t="n">
        <x:f>AVERAGEIFS('Alle Resultate'!$K$2:$K$361,'Alle Resultate'!$A$2:$A$361,I$8,'Alle Resultate'!$B$2:$B$361,$B9,'Alle Resultate'!$C$2:$C$361,$A9)</x:f>
        <x:v>0.18089488637216242</x:v>
      </x:c>
      <x:c r="J9" s="24" t="n">
        <x:f>AVERAGEIFS('Alle Resultate'!$K$2:$K$361,'Alle Resultate'!$A$2:$A$361,J$8,'Alle Resultate'!$B$2:$B$361,$B9,'Alle Resultate'!$C$2:$C$361,$A9)</x:f>
        <x:v>0.3596866099453747</x:v>
      </x:c>
      <x:c r="K9" s="24" t="n">
        <x:f>AVERAGEIFS('Alle Resultate'!$K$2:$K$361,'Alle Resultate'!$A$2:$A$361,K$8,'Alle Resultate'!$B$2:$B$361,$B9,'Alle Resultate'!$C$2:$C$361,$A9)</x:f>
        <x:v>0.28556254216986976</x:v>
      </x:c>
      <x:c r="L9" s="24" t="n">
        <x:f>AVERAGEIFS('Alle Resultate'!$K$2:$K$361,'Alle Resultate'!$A$2:$A$361,L$8,'Alle Resultate'!$B$2:$B$361,$B9,'Alle Resultate'!$C$2:$C$361,$A9)</x:f>
        <x:v>0.3194362497782805</x:v>
      </x:c>
      <x:c r="M9" s="24" t="n">
        <x:f>AVERAGEIFS('Alle Resultate'!$K$2:$K$361,'Alle Resultate'!$A$2:$A$361,M$8,'Alle Resultate'!$B$2:$B$361,$B9,'Alle Resultate'!$C$2:$C$361,$A9)</x:f>
        <x:v>0.3697155518085462</x:v>
      </x:c>
      <x:c r="N9" s="24" t="n">
        <x:f>AVERAGEIFS('Alle Resultate'!$K$2:$K$361,'Alle Resultate'!$A$2:$A$361,N$8,'Alle Resultate'!$B$2:$B$361,$B9,'Alle Resultate'!$C$2:$C$361,$A9)</x:f>
        <x:v>0.3018605219042423</x:v>
      </x:c>
      <x:c r="O9" s="24" t="n">
        <x:f>AVERAGEIFS('Alle Resultate'!$K$2:$K$361,'Alle Resultate'!$A$2:$A$361,O$8,'Alle Resultate'!$B$2:$B$361,$B9,'Alle Resultate'!$C$2:$C$361,$A9)</x:f>
        <x:v>0.3196909460695218</x:v>
      </x:c>
      <x:c r="P9" s="24" t="n">
        <x:f>AVERAGEIFS('Alle Resultate'!$K$2:$K$361,'Alle Resultate'!$A$2:$A$361,P$8,'Alle Resultate'!$B$2:$B$361,$B9,'Alle Resultate'!$C$2:$C$361,$A9)</x:f>
        <x:v>0.32680993108938966</x:v>
      </x:c>
      <x:c r="Q9" s="24" t="n">
        <x:f>AVERAGEIFS('Alle Resultate'!$K$2:$K$361,'Alle Resultate'!$A$2:$A$361,Q$8,'Alle Resultate'!$B$2:$B$361,$B9,'Alle Resultate'!$C$2:$C$361,$A9)</x:f>
        <x:v>0.3548643259471781</x:v>
      </x:c>
      <x:c r="R9" s="24" t="n">
        <x:f>AVERAGEIFS('Alle Resultate'!$K$2:$K$361,'Alle Resultate'!$A$2:$A$361,R$8,'Alle Resultate'!$B$2:$B$361,$B9,'Alle Resultate'!$C$2:$C$361,$A9)</x:f>
        <x:v>0.29974168925595046</x:v>
      </x:c>
      <x:c r="S9" s="24" t="n">
        <x:f>AVERAGEIFS('Alle Resultate'!$K$2:$K$361,'Alle Resultate'!$A$2:$A$361,S$8,'Alle Resultate'!$B$2:$B$361,$B9,'Alle Resultate'!$C$2:$C$361,$A9)</x:f>
        <x:v>0.3098239684146201</x:v>
      </x:c>
      <x:c r="T9" s="24" t="n">
        <x:f>AVERAGEIFS('Alle Resultate'!$K$2:$K$361,'Alle Resultate'!$A$2:$A$361,T$8,'Alle Resultate'!$B$2:$B$361,$B9,'Alle Resultate'!$C$2:$C$361,$A9)</x:f>
        <x:v>0.2965472510355829</x:v>
      </x:c>
      <x:c r="U9" s="78" t="n">
        <x:f>MAX(C9:T9)</x:f>
        <x:v>0.5565136705777908</x:v>
      </x:c>
      <x:c r="V9" s="79" t="str">
        <x:f>INDEX($C$8:$T$8,1,MATCH(U9,C9:T9,0))</x:f>
        <x:v>snv</x:v>
      </x:c>
    </x:row>
    <x:row r="10">
      <x:c r="A10" s="23" t="str">
        <x:v>cnn</x:v>
      </x:c>
      <x:c r="B10" s="23" t="str">
        <x:v>hnmr</x:v>
      </x:c>
      <x:c r="C10" s="24" t="n">
        <x:f>AVERAGEIFS('Alle Resultate'!$K$2:$K$361,'Alle Resultate'!$A$2:$A$361,C$8,'Alle Resultate'!$B$2:$B$361,$B10,'Alle Resultate'!$C$2:$C$361,$A10)</x:f>
        <x:v>0.35445959067044197</x:v>
      </x:c>
      <x:c r="D10" s="24" t="n">
        <x:f>AVERAGEIFS('Alle Resultate'!$K$2:$K$361,'Alle Resultate'!$A$2:$A$361,D$8,'Alle Resultate'!$B$2:$B$361,$B10,'Alle Resultate'!$C$2:$C$361,$A10)</x:f>
        <x:v>0.5553737249143765</x:v>
      </x:c>
      <x:c r="E10" s="24" t="n">
        <x:f>AVERAGEIFS('Alle Resultate'!$K$2:$K$361,'Alle Resultate'!$A$2:$A$361,E$8,'Alle Resultate'!$B$2:$B$361,$B10,'Alle Resultate'!$C$2:$C$361,$A10)</x:f>
        <x:v>0.5132797164562832</x:v>
      </x:c>
      <x:c r="F10" s="24" t="n">
        <x:f>AVERAGEIFS('Alle Resultate'!$K$2:$K$361,'Alle Resultate'!$A$2:$A$361,F$8,'Alle Resultate'!$B$2:$B$361,$B10,'Alle Resultate'!$C$2:$C$361,$A10)</x:f>
        <x:v>0.5336832907714817</x:v>
      </x:c>
      <x:c r="G10" s="24" t="n">
        <x:f>AVERAGEIFS('Alle Resultate'!$K$2:$K$361,'Alle Resultate'!$A$2:$A$361,G$8,'Alle Resultate'!$B$2:$B$361,$B10,'Alle Resultate'!$C$2:$C$361,$A10)</x:f>
        <x:v>0.42033154190803024</x:v>
      </x:c>
      <x:c r="H10" s="24" t="n">
        <x:f>AVERAGEIFS('Alle Resultate'!$K$2:$K$361,'Alle Resultate'!$A$2:$A$361,H$8,'Alle Resultate'!$B$2:$B$361,$B10,'Alle Resultate'!$C$2:$C$361,$A10)</x:f>
        <x:v>0.42587070525806403</x:v>
      </x:c>
      <x:c r="I10" s="24" t="n">
        <x:f>AVERAGEIFS('Alle Resultate'!$K$2:$K$361,'Alle Resultate'!$A$2:$A$361,I$8,'Alle Resultate'!$B$2:$B$361,$B10,'Alle Resultate'!$C$2:$C$361,$A10)</x:f>
        <x:v>0.2335603510840742</x:v>
      </x:c>
      <x:c r="J10" s="24" t="n">
        <x:f>AVERAGEIFS('Alle Resultate'!$K$2:$K$361,'Alle Resultate'!$A$2:$A$361,J$8,'Alle Resultate'!$B$2:$B$361,$B10,'Alle Resultate'!$C$2:$C$361,$A10)</x:f>
        <x:v>0.36530234410633833</x:v>
      </x:c>
      <x:c r="K10" s="24" t="n">
        <x:f>AVERAGEIFS('Alle Resultate'!$K$2:$K$361,'Alle Resultate'!$A$2:$A$361,K$8,'Alle Resultate'!$B$2:$B$361,$B10,'Alle Resultate'!$C$2:$C$361,$A10)</x:f>
        <x:v>0.3238775276641306</x:v>
      </x:c>
      <x:c r="L10" s="24" t="n">
        <x:f>AVERAGEIFS('Alle Resultate'!$K$2:$K$361,'Alle Resultate'!$A$2:$A$361,L$8,'Alle Resultate'!$B$2:$B$361,$B10,'Alle Resultate'!$C$2:$C$361,$A10)</x:f>
        <x:v>0.3129497272479748</x:v>
      </x:c>
      <x:c r="M10" s="24" t="n">
        <x:f>AVERAGEIFS('Alle Resultate'!$K$2:$K$361,'Alle Resultate'!$A$2:$A$361,M$8,'Alle Resultate'!$B$2:$B$361,$B10,'Alle Resultate'!$C$2:$C$361,$A10)</x:f>
        <x:v>0.23185333813478096</x:v>
      </x:c>
      <x:c r="N10" s="24" t="n">
        <x:f>AVERAGEIFS('Alle Resultate'!$K$2:$K$361,'Alle Resultate'!$A$2:$A$361,N$8,'Alle Resultate'!$B$2:$B$361,$B10,'Alle Resultate'!$C$2:$C$361,$A10)</x:f>
        <x:v>0.20626304100264597</x:v>
      </x:c>
      <x:c r="O10" s="24" t="n">
        <x:f>AVERAGEIFS('Alle Resultate'!$K$2:$K$361,'Alle Resultate'!$A$2:$A$361,O$8,'Alle Resultate'!$B$2:$B$361,$B10,'Alle Resultate'!$C$2:$C$361,$A10)</x:f>
        <x:v>0.32441862762886076</x:v>
      </x:c>
      <x:c r="P10" s="24" t="n">
        <x:f>AVERAGEIFS('Alle Resultate'!$K$2:$K$361,'Alle Resultate'!$A$2:$A$361,P$8,'Alle Resultate'!$B$2:$B$361,$B10,'Alle Resultate'!$C$2:$C$361,$A10)</x:f>
        <x:v>0.27899380572980736</x:v>
      </x:c>
      <x:c r="Q10" s="24" t="n">
        <x:f>AVERAGEIFS('Alle Resultate'!$K$2:$K$361,'Alle Resultate'!$A$2:$A$361,Q$8,'Alle Resultate'!$B$2:$B$361,$B10,'Alle Resultate'!$C$2:$C$361,$A10)</x:f>
        <x:v>0.31553601035690637</x:v>
      </x:c>
      <x:c r="R10" s="24" t="n">
        <x:f>AVERAGEIFS('Alle Resultate'!$K$2:$K$361,'Alle Resultate'!$A$2:$A$361,R$8,'Alle Resultate'!$B$2:$B$361,$B10,'Alle Resultate'!$C$2:$C$361,$A10)</x:f>
        <x:v>0.2321031394761409</x:v>
      </x:c>
      <x:c r="S10" s="24" t="n">
        <x:f>AVERAGEIFS('Alle Resultate'!$K$2:$K$361,'Alle Resultate'!$A$2:$A$361,S$8,'Alle Resultate'!$B$2:$B$361,$B10,'Alle Resultate'!$C$2:$C$361,$A10)</x:f>
        <x:v>0.36920130497288295</x:v>
      </x:c>
      <x:c r="T10" s="24" t="n">
        <x:f>AVERAGEIFS('Alle Resultate'!$K$2:$K$361,'Alle Resultate'!$A$2:$A$361,T$8,'Alle Resultate'!$B$2:$B$361,$B10,'Alle Resultate'!$C$2:$C$361,$A10)</x:f>
        <x:v>0.3510639706091723</x:v>
      </x:c>
      <x:c r="U10" s="78" t="n">
        <x:f>MAX(C10:T10)</x:f>
        <x:v>0.5553737249143765</x:v>
      </x:c>
      <x:c r="V10" s="79" t="str">
        <x:f>INDEX($C$8:$T$8,1,MATCH(U10,C10:T10,0))</x:f>
        <x:v>snv</x:v>
      </x:c>
    </x:row>
    <x:row r="11">
      <x:c r="A11" s="23" t="str">
        <x:v>cnn</x:v>
      </x:c>
      <x:c r="B11" s="23" t="str">
        <x:v>ir</x:v>
      </x:c>
      <x:c r="C11" s="24" t="n">
        <x:f>AVERAGEIFS('Alle Resultate'!$K$2:$K$361,'Alle Resultate'!$A$2:$A$361,C$8,'Alle Resultate'!$B$2:$B$361,$B11,'Alle Resultate'!$C$2:$C$361,$A11)</x:f>
        <x:v>0.7697111113544243</x:v>
      </x:c>
      <x:c r="D11" s="24" t="n">
        <x:f>AVERAGEIFS('Alle Resultate'!$K$2:$K$361,'Alle Resultate'!$A$2:$A$361,D$8,'Alle Resultate'!$B$2:$B$361,$B11,'Alle Resultate'!$C$2:$C$361,$A11)</x:f>
        <x:v>0.7875155047634684</x:v>
      </x:c>
      <x:c r="E11" s="24" t="n">
        <x:f>AVERAGEIFS('Alle Resultate'!$K$2:$K$361,'Alle Resultate'!$A$2:$A$361,E$8,'Alle Resultate'!$B$2:$B$361,$B11,'Alle Resultate'!$C$2:$C$361,$A11)</x:f>
        <x:v>0.7719707390735755</x:v>
      </x:c>
      <x:c r="F11" s="24" t="n">
        <x:f>AVERAGEIFS('Alle Resultate'!$K$2:$K$361,'Alle Resultate'!$A$2:$A$361,F$8,'Alle Resultate'!$B$2:$B$361,$B11,'Alle Resultate'!$C$2:$C$361,$A11)</x:f>
        <x:v>0.7740690952392658</x:v>
      </x:c>
      <x:c r="G11" s="24" t="n">
        <x:f>AVERAGEIFS('Alle Resultate'!$K$2:$K$361,'Alle Resultate'!$A$2:$A$361,G$8,'Alle Resultate'!$B$2:$B$361,$B11,'Alle Resultate'!$C$2:$C$361,$A11)</x:f>
        <x:v>0.42534170299466323</x:v>
      </x:c>
      <x:c r="H11" s="24" t="n">
        <x:f>AVERAGEIFS('Alle Resultate'!$K$2:$K$361,'Alle Resultate'!$A$2:$A$361,H$8,'Alle Resultate'!$B$2:$B$361,$B11,'Alle Resultate'!$C$2:$C$361,$A11)</x:f>
        <x:v>0.7807457606864818</x:v>
      </x:c>
      <x:c r="I11" s="24" t="n">
        <x:f>AVERAGEIFS('Alle Resultate'!$K$2:$K$361,'Alle Resultate'!$A$2:$A$361,I$8,'Alle Resultate'!$B$2:$B$361,$B11,'Alle Resultate'!$C$2:$C$361,$A11)</x:f>
        <x:v>0.7685400475792967</x:v>
      </x:c>
      <x:c r="J11" s="24" t="n">
        <x:f>AVERAGEIFS('Alle Resultate'!$K$2:$K$361,'Alle Resultate'!$A$2:$A$361,J$8,'Alle Resultate'!$B$2:$B$361,$B11,'Alle Resultate'!$C$2:$C$361,$A11)</x:f>
        <x:v>0.5149711088167445</x:v>
      </x:c>
      <x:c r="K11" s="24" t="n">
        <x:f>AVERAGEIFS('Alle Resultate'!$K$2:$K$361,'Alle Resultate'!$A$2:$A$361,K$8,'Alle Resultate'!$B$2:$B$361,$B11,'Alle Resultate'!$C$2:$C$361,$A11)</x:f>
        <x:v>0.7684928040616219</x:v>
      </x:c>
      <x:c r="L11" s="24" t="n">
        <x:f>AVERAGEIFS('Alle Resultate'!$K$2:$K$361,'Alle Resultate'!$A$2:$A$361,L$8,'Alle Resultate'!$B$2:$B$361,$B11,'Alle Resultate'!$C$2:$C$361,$A11)</x:f>
        <x:v>0.7599417362693199</x:v>
      </x:c>
      <x:c r="M11" s="24" t="n">
        <x:f>AVERAGEIFS('Alle Resultate'!$K$2:$K$361,'Alle Resultate'!$A$2:$A$361,M$8,'Alle Resultate'!$B$2:$B$361,$B11,'Alle Resultate'!$C$2:$C$361,$A11)</x:f>
        <x:v>0.7422309963871999</x:v>
      </x:c>
      <x:c r="N11" s="24" t="n">
        <x:f>AVERAGEIFS('Alle Resultate'!$K$2:$K$361,'Alle Resultate'!$A$2:$A$361,N$8,'Alle Resultate'!$B$2:$B$361,$B11,'Alle Resultate'!$C$2:$C$361,$A11)</x:f>
        <x:v>0.7553091534383664</x:v>
      </x:c>
      <x:c r="O11" s="24" t="n">
        <x:f>AVERAGEIFS('Alle Resultate'!$K$2:$K$361,'Alle Resultate'!$A$2:$A$361,O$8,'Alle Resultate'!$B$2:$B$361,$B11,'Alle Resultate'!$C$2:$C$361,$A11)</x:f>
        <x:v>0.7832947853061332</x:v>
      </x:c>
      <x:c r="P11" s="24" t="n">
        <x:f>AVERAGEIFS('Alle Resultate'!$K$2:$K$361,'Alle Resultate'!$A$2:$A$361,P$8,'Alle Resultate'!$B$2:$B$361,$B11,'Alle Resultate'!$C$2:$C$361,$A11)</x:f>
        <x:v>0.7733989617933492</x:v>
      </x:c>
      <x:c r="Q11" s="24" t="n">
        <x:f>AVERAGEIFS('Alle Resultate'!$K$2:$K$361,'Alle Resultate'!$A$2:$A$361,Q$8,'Alle Resultate'!$B$2:$B$361,$B11,'Alle Resultate'!$C$2:$C$361,$A11)</x:f>
        <x:v>0.6881402751160214</x:v>
      </x:c>
      <x:c r="R11" s="24" t="n">
        <x:f>AVERAGEIFS('Alle Resultate'!$K$2:$K$361,'Alle Resultate'!$A$2:$A$361,R$8,'Alle Resultate'!$B$2:$B$361,$B11,'Alle Resultate'!$C$2:$C$361,$A11)</x:f>
        <x:v>0.7776596529608732</x:v>
      </x:c>
      <x:c r="S11" s="24" t="n">
        <x:f>AVERAGEIFS('Alle Resultate'!$K$2:$K$361,'Alle Resultate'!$A$2:$A$361,S$8,'Alle Resultate'!$B$2:$B$361,$B11,'Alle Resultate'!$C$2:$C$361,$A11)</x:f>
        <x:v>0.7696381493884487</x:v>
      </x:c>
      <x:c r="T11" s="24" t="n">
        <x:f>AVERAGEIFS('Alle Resultate'!$K$2:$K$361,'Alle Resultate'!$A$2:$A$361,T$8,'Alle Resultate'!$B$2:$B$361,$B11,'Alle Resultate'!$C$2:$C$361,$A11)</x:f>
        <x:v>0.7830864539718645</x:v>
      </x:c>
      <x:c r="U11" s="78" t="n">
        <x:f>MAX(C11:T11)</x:f>
        <x:v>0.7875155047634684</x:v>
      </x:c>
      <x:c r="V11" s="79" t="str">
        <x:f>INDEX($C$8:$T$8,1,MATCH(U11,C11:T11,0))</x:f>
        <x:v>snv</x:v>
      </x:c>
    </x:row>
    <x:row r="12">
      <x:c r="A12" s="23" t="str">
        <x:v>cnn</x:v>
      </x:c>
      <x:c r="B12" s="23" t="str">
        <x:v>msms_pos</x:v>
      </x:c>
      <x:c r="C12" s="24" t="n">
        <x:f>AVERAGEIFS('Alle Resultate'!$K$2:$K$361,'Alle Resultate'!$A$2:$A$361,C$8,'Alle Resultate'!$B$2:$B$361,$B12,'Alle Resultate'!$C$2:$C$361,$A12)</x:f>
        <x:v>0.37436299007002866</x:v>
      </x:c>
      <x:c r="D12" s="24" t="n">
        <x:f>AVERAGEIFS('Alle Resultate'!$K$2:$K$361,'Alle Resultate'!$A$2:$A$361,D$8,'Alle Resultate'!$B$2:$B$361,$B12,'Alle Resultate'!$C$2:$C$361,$A12)</x:f>
        <x:v>0.3728880864880799</x:v>
      </x:c>
      <x:c r="E12" s="24" t="n">
        <x:f>AVERAGEIFS('Alle Resultate'!$K$2:$K$361,'Alle Resultate'!$A$2:$A$361,E$8,'Alle Resultate'!$B$2:$B$361,$B12,'Alle Resultate'!$C$2:$C$361,$A12)</x:f>
        <x:v>0.365755232684397</x:v>
      </x:c>
      <x:c r="F12" s="24" t="n">
        <x:f>AVERAGEIFS('Alle Resultate'!$K$2:$K$361,'Alle Resultate'!$A$2:$A$361,F$8,'Alle Resultate'!$B$2:$B$361,$B12,'Alle Resultate'!$C$2:$C$361,$A12)</x:f>
        <x:v>0.3711455266167332</x:v>
      </x:c>
      <x:c r="G12" s="24" t="n">
        <x:f>AVERAGEIFS('Alle Resultate'!$K$2:$K$361,'Alle Resultate'!$A$2:$A$361,G$8,'Alle Resultate'!$B$2:$B$361,$B12,'Alle Resultate'!$C$2:$C$361,$A12)</x:f>
        <x:v>0.3696658117816228</x:v>
      </x:c>
      <x:c r="H12" s="24" t="n">
        <x:f>AVERAGEIFS('Alle Resultate'!$K$2:$K$361,'Alle Resultate'!$A$2:$A$361,H$8,'Alle Resultate'!$B$2:$B$361,$B12,'Alle Resultate'!$C$2:$C$361,$A12)</x:f>
        <x:v>0.36930987451608394</x:v>
      </x:c>
      <x:c r="I12" s="24" t="n">
        <x:f>AVERAGEIFS('Alle Resultate'!$K$2:$K$361,'Alle Resultate'!$A$2:$A$361,I$8,'Alle Resultate'!$B$2:$B$361,$B12,'Alle Resultate'!$C$2:$C$361,$A12)</x:f>
        <x:v>0.37301874259036105</x:v>
      </x:c>
      <x:c r="J12" s="24" t="n">
        <x:f>AVERAGEIFS('Alle Resultate'!$K$2:$K$361,'Alle Resultate'!$A$2:$A$361,J$8,'Alle Resultate'!$B$2:$B$361,$B12,'Alle Resultate'!$C$2:$C$361,$A12)</x:f>
        <x:v>0.3500057178778764</x:v>
      </x:c>
      <x:c r="K12" s="24" t="n">
        <x:f>AVERAGEIFS('Alle Resultate'!$K$2:$K$361,'Alle Resultate'!$A$2:$A$361,K$8,'Alle Resultate'!$B$2:$B$361,$B12,'Alle Resultate'!$C$2:$C$361,$A12)</x:f>
        <x:v>0.3757739042378852</x:v>
      </x:c>
      <x:c r="L12" s="24" t="n">
        <x:f>AVERAGEIFS('Alle Resultate'!$K$2:$K$361,'Alle Resultate'!$A$2:$A$361,L$8,'Alle Resultate'!$B$2:$B$361,$B12,'Alle Resultate'!$C$2:$C$361,$A12)</x:f>
        <x:v>0.3761614376423262</x:v>
      </x:c>
      <x:c r="M12" s="24" t="n">
        <x:f>AVERAGEIFS('Alle Resultate'!$K$2:$K$361,'Alle Resultate'!$A$2:$A$361,M$8,'Alle Resultate'!$B$2:$B$361,$B12,'Alle Resultate'!$C$2:$C$361,$A12)</x:f>
        <x:v>0.37644129789860636</x:v>
      </x:c>
      <x:c r="N12" s="24" t="n">
        <x:f>AVERAGEIFS('Alle Resultate'!$K$2:$K$361,'Alle Resultate'!$A$2:$A$361,N$8,'Alle Resultate'!$B$2:$B$361,$B12,'Alle Resultate'!$C$2:$C$361,$A12)</x:f>
        <x:v>0.3781853093257977</x:v>
      </x:c>
      <x:c r="O12" s="24" t="n">
        <x:f>AVERAGEIFS('Alle Resultate'!$K$2:$K$361,'Alle Resultate'!$A$2:$A$361,O$8,'Alle Resultate'!$B$2:$B$361,$B12,'Alle Resultate'!$C$2:$C$361,$A12)</x:f>
        <x:v>0.37557446429556673</x:v>
      </x:c>
      <x:c r="P12" s="24" t="n">
        <x:f>AVERAGEIFS('Alle Resultate'!$K$2:$K$361,'Alle Resultate'!$A$2:$A$361,P$8,'Alle Resultate'!$B$2:$B$361,$B12,'Alle Resultate'!$C$2:$C$361,$A12)</x:f>
        <x:v>0.37639979540051555</x:v>
      </x:c>
      <x:c r="Q12" s="24" t="n">
        <x:f>AVERAGEIFS('Alle Resultate'!$K$2:$K$361,'Alle Resultate'!$A$2:$A$361,Q$8,'Alle Resultate'!$B$2:$B$361,$B12,'Alle Resultate'!$C$2:$C$361,$A12)</x:f>
        <x:v>0.377513621204018</x:v>
      </x:c>
      <x:c r="R12" s="24" t="n">
        <x:f>AVERAGEIFS('Alle Resultate'!$K$2:$K$361,'Alle Resultate'!$A$2:$A$361,R$8,'Alle Resultate'!$B$2:$B$361,$B12,'Alle Resultate'!$C$2:$C$361,$A12)</x:f>
        <x:v>0.4913587057764095</x:v>
      </x:c>
      <x:c r="S12" s="24" t="n">
        <x:f>AVERAGEIFS('Alle Resultate'!$K$2:$K$361,'Alle Resultate'!$A$2:$A$361,S$8,'Alle Resultate'!$B$2:$B$361,$B12,'Alle Resultate'!$C$2:$C$361,$A12)</x:f>
        <x:v>0.4722038042123477</x:v>
      </x:c>
      <x:c r="T12" s="24" t="n">
        <x:f>AVERAGEIFS('Alle Resultate'!$K$2:$K$361,'Alle Resultate'!$A$2:$A$361,T$8,'Alle Resultate'!$B$2:$B$361,$B12,'Alle Resultate'!$C$2:$C$361,$A12)</x:f>
        <x:v>0.5161646157798725</x:v>
      </x:c>
      <x:c r="U12" s="78" t="n">
        <x:f>MAX(C12:T12)</x:f>
        <x:v>0.5161646157798725</x:v>
      </x:c>
      <x:c r="V12" s="79" t="str">
        <x:f>INDEX($C$8:$T$8,1,MATCH(U12,C12:T12,0))</x:f>
        <x:v>fir</x:v>
      </x:c>
    </x:row>
    <x:row r="13">
      <x:c r="A13" s="23" t="str">
        <x:v>cnn</x:v>
      </x:c>
      <x:c r="B13" s="23" t="str">
        <x:v>msms_neg</x:v>
      </x:c>
      <x:c r="C13" s="24" t="n">
        <x:f>AVERAGEIFS('Alle Resultate'!$K$2:$K$361,'Alle Resultate'!$A$2:$A$361,C$8,'Alle Resultate'!$B$2:$B$361,$B13,'Alle Resultate'!$C$2:$C$361,$A13)</x:f>
        <x:v>0.3802569647985055</x:v>
      </x:c>
      <x:c r="D13" s="24" t="n">
        <x:f>AVERAGEIFS('Alle Resultate'!$K$2:$K$361,'Alle Resultate'!$A$2:$A$361,D$8,'Alle Resultate'!$B$2:$B$361,$B13,'Alle Resultate'!$C$2:$C$361,$A13)</x:f>
        <x:v>0.3801543254939746</x:v>
      </x:c>
      <x:c r="E13" s="24" t="n">
        <x:f>AVERAGEIFS('Alle Resultate'!$K$2:$K$361,'Alle Resultate'!$A$2:$A$361,E$8,'Alle Resultate'!$B$2:$B$361,$B13,'Alle Resultate'!$C$2:$C$361,$A13)</x:f>
        <x:v>0.3740938224904846</x:v>
      </x:c>
      <x:c r="F13" s="24" t="n">
        <x:f>AVERAGEIFS('Alle Resultate'!$K$2:$K$361,'Alle Resultate'!$A$2:$A$361,F$8,'Alle Resultate'!$B$2:$B$361,$B13,'Alle Resultate'!$C$2:$C$361,$A13)</x:f>
        <x:v>0.36690948231352805</x:v>
      </x:c>
      <x:c r="G13" s="24" t="n">
        <x:f>AVERAGEIFS('Alle Resultate'!$K$2:$K$361,'Alle Resultate'!$A$2:$A$361,G$8,'Alle Resultate'!$B$2:$B$361,$B13,'Alle Resultate'!$C$2:$C$361,$A13)</x:f>
        <x:v>0.38288992410995404</x:v>
      </x:c>
      <x:c r="H13" s="24" t="n">
        <x:f>AVERAGEIFS('Alle Resultate'!$K$2:$K$361,'Alle Resultate'!$A$2:$A$361,H$8,'Alle Resultate'!$B$2:$B$361,$B13,'Alle Resultate'!$C$2:$C$361,$A13)</x:f>
        <x:v>0.37692749833740913</x:v>
      </x:c>
      <x:c r="I13" s="24" t="n">
        <x:f>AVERAGEIFS('Alle Resultate'!$K$2:$K$361,'Alle Resultate'!$A$2:$A$361,I$8,'Alle Resultate'!$B$2:$B$361,$B13,'Alle Resultate'!$C$2:$C$361,$A13)</x:f>
        <x:v>0.3806241285242334</x:v>
      </x:c>
      <x:c r="J13" s="24" t="n">
        <x:f>AVERAGEIFS('Alle Resultate'!$K$2:$K$361,'Alle Resultate'!$A$2:$A$361,J$8,'Alle Resultate'!$B$2:$B$361,$B13,'Alle Resultate'!$C$2:$C$361,$A13)</x:f>
        <x:v>0.3650963823006819</x:v>
      </x:c>
      <x:c r="K13" s="24" t="n">
        <x:f>AVERAGEIFS('Alle Resultate'!$K$2:$K$361,'Alle Resultate'!$A$2:$A$361,K$8,'Alle Resultate'!$B$2:$B$361,$B13,'Alle Resultate'!$C$2:$C$361,$A13)</x:f>
        <x:v>0.3815168577123688</x:v>
      </x:c>
      <x:c r="L13" s="24" t="n">
        <x:f>AVERAGEIFS('Alle Resultate'!$K$2:$K$361,'Alle Resultate'!$A$2:$A$361,L$8,'Alle Resultate'!$B$2:$B$361,$B13,'Alle Resultate'!$C$2:$C$361,$A13)</x:f>
        <x:v>0.3811721875950682</x:v>
      </x:c>
      <x:c r="M13" s="24" t="n">
        <x:f>AVERAGEIFS('Alle Resultate'!$K$2:$K$361,'Alle Resultate'!$A$2:$A$361,M$8,'Alle Resultate'!$B$2:$B$361,$B13,'Alle Resultate'!$C$2:$C$361,$A13)</x:f>
        <x:v>0.3752000079343638</x:v>
      </x:c>
      <x:c r="N13" s="24" t="n">
        <x:f>AVERAGEIFS('Alle Resultate'!$K$2:$K$361,'Alle Resultate'!$A$2:$A$361,N$8,'Alle Resultate'!$B$2:$B$361,$B13,'Alle Resultate'!$C$2:$C$361,$A13)</x:f>
        <x:v>0.3823640324164408</x:v>
      </x:c>
      <x:c r="O13" s="24" t="n">
        <x:f>AVERAGEIFS('Alle Resultate'!$K$2:$K$361,'Alle Resultate'!$A$2:$A$361,O$8,'Alle Resultate'!$B$2:$B$361,$B13,'Alle Resultate'!$C$2:$C$361,$A13)</x:f>
        <x:v>0.3825258449322192</x:v>
      </x:c>
      <x:c r="P13" s="24" t="n">
        <x:f>AVERAGEIFS('Alle Resultate'!$K$2:$K$361,'Alle Resultate'!$A$2:$A$361,P$8,'Alle Resultate'!$B$2:$B$361,$B13,'Alle Resultate'!$C$2:$C$361,$A13)</x:f>
        <x:v>0.38224686449545</x:v>
      </x:c>
      <x:c r="Q13" s="24" t="n">
        <x:f>AVERAGEIFS('Alle Resultate'!$K$2:$K$361,'Alle Resultate'!$A$2:$A$361,Q$8,'Alle Resultate'!$B$2:$B$361,$B13,'Alle Resultate'!$C$2:$C$361,$A13)</x:f>
        <x:v>0.386197613772532</x:v>
      </x:c>
      <x:c r="R13" s="24" t="n">
        <x:f>AVERAGEIFS('Alle Resultate'!$K$2:$K$361,'Alle Resultate'!$A$2:$A$361,R$8,'Alle Resultate'!$B$2:$B$361,$B13,'Alle Resultate'!$C$2:$C$361,$A13)</x:f>
        <x:v>0.5163217912882918</x:v>
      </x:c>
      <x:c r="S13" s="24" t="n">
        <x:f>AVERAGEIFS('Alle Resultate'!$K$2:$K$361,'Alle Resultate'!$A$2:$A$361,S$8,'Alle Resultate'!$B$2:$B$361,$B13,'Alle Resultate'!$C$2:$C$361,$A13)</x:f>
        <x:v>0.5219747544535076</x:v>
      </x:c>
      <x:c r="T13" s="24" t="n">
        <x:f>AVERAGEIFS('Alle Resultate'!$K$2:$K$361,'Alle Resultate'!$A$2:$A$361,T$8,'Alle Resultate'!$B$2:$B$361,$B13,'Alle Resultate'!$C$2:$C$361,$A13)</x:f>
        <x:v>0.5554055836401245</x:v>
      </x:c>
      <x:c r="U13" s="78" t="n">
        <x:f>MAX(C13:T13)</x:f>
        <x:v>0.5554055836401245</x:v>
      </x:c>
      <x:c r="V13" s="79" t="str">
        <x:f>INDEX($C$8:$T$8,1,MATCH(U13,C13:T13,0))</x:f>
        <x:v>fir</x:v>
      </x:c>
    </x:row>
    <x:row r="14">
      <x:c r="A14" s="23" t="str">
        <x:v>xgboost</x:v>
      </x:c>
      <x:c r="B14" s="23" t="str">
        <x:v>cnmr</x:v>
      </x:c>
      <x:c r="C14" s="24" t="n">
        <x:f>AVERAGEIFS('Alle Resultate'!$K$2:$K$361,'Alle Resultate'!$A$2:$A$361,C$8,'Alle Resultate'!$B$2:$B$361,$B14,'Alle Resultate'!$C$2:$C$361,$A14)</x:f>
        <x:v>0.6040122922443155</x:v>
      </x:c>
      <x:c r="D14" s="24" t="n">
        <x:f>AVERAGEIFS('Alle Resultate'!$K$2:$K$361,'Alle Resultate'!$A$2:$A$361,D$8,'Alle Resultate'!$B$2:$B$361,$B14,'Alle Resultate'!$C$2:$C$361,$A14)</x:f>
        <x:v>0.5102367927912667</x:v>
      </x:c>
      <x:c r="E14" s="24" t="n">
        <x:f>AVERAGEIFS('Alle Resultate'!$K$2:$K$361,'Alle Resultate'!$A$2:$A$361,E$8,'Alle Resultate'!$B$2:$B$361,$B14,'Alle Resultate'!$C$2:$C$361,$A14)</x:f>
        <x:v>0.5660837575345407</x:v>
      </x:c>
      <x:c r="F14" s="24" t="n">
        <x:f>AVERAGEIFS('Alle Resultate'!$K$2:$K$361,'Alle Resultate'!$A$2:$A$361,F$8,'Alle Resultate'!$B$2:$B$361,$B14,'Alle Resultate'!$C$2:$C$361,$A14)</x:f>
        <x:v>0.5660837575345407</x:v>
      </x:c>
      <x:c r="G14" s="24" t="n">
        <x:f>AVERAGEIFS('Alle Resultate'!$K$2:$K$361,'Alle Resultate'!$A$2:$A$361,G$8,'Alle Resultate'!$B$2:$B$361,$B14,'Alle Resultate'!$C$2:$C$361,$A14)</x:f>
        <x:v>0.5680857222778368</x:v>
      </x:c>
      <x:c r="H14" s="24" t="n">
        <x:f>AVERAGEIFS('Alle Resultate'!$K$2:$K$361,'Alle Resultate'!$A$2:$A$361,H$8,'Alle Resultate'!$B$2:$B$361,$B14,'Alle Resultate'!$C$2:$C$361,$A14)</x:f>
        <x:v>0.5654353970977458</x:v>
      </x:c>
      <x:c r="I14" s="24" t="n">
        <x:f>AVERAGEIFS('Alle Resultate'!$K$2:$K$361,'Alle Resultate'!$A$2:$A$361,I$8,'Alle Resultate'!$B$2:$B$361,$B14,'Alle Resultate'!$C$2:$C$361,$A14)</x:f>
        <x:v>0.5769152523951739</x:v>
      </x:c>
      <x:c r="J14" s="24" t="n">
        <x:f>AVERAGEIFS('Alle Resultate'!$K$2:$K$361,'Alle Resultate'!$A$2:$A$361,J$8,'Alle Resultate'!$B$2:$B$361,$B14,'Alle Resultate'!$C$2:$C$361,$A14)</x:f>
        <x:v>0.580445446164912</x:v>
      </x:c>
      <x:c r="K14" s="24" t="n">
        <x:f>AVERAGEIFS('Alle Resultate'!$K$2:$K$361,'Alle Resultate'!$A$2:$A$361,K$8,'Alle Resultate'!$B$2:$B$361,$B14,'Alle Resultate'!$C$2:$C$361,$A14)</x:f>
        <x:v>0.5716999744133549</x:v>
      </x:c>
      <x:c r="L14" s="24" t="n">
        <x:f>AVERAGEIFS('Alle Resultate'!$K$2:$K$361,'Alle Resultate'!$A$2:$A$361,L$8,'Alle Resultate'!$B$2:$B$361,$B14,'Alle Resultate'!$C$2:$C$361,$A14)</x:f>
        <x:v>0.5873423447423478</x:v>
      </x:c>
      <x:c r="M14" s="24" t="n">
        <x:f>AVERAGEIFS('Alle Resultate'!$K$2:$K$361,'Alle Resultate'!$A$2:$A$361,M$8,'Alle Resultate'!$B$2:$B$361,$B14,'Alle Resultate'!$C$2:$C$361,$A14)</x:f>
        <x:v>0.5963864571762207</x:v>
      </x:c>
      <x:c r="N14" s="24" t="n">
        <x:f>AVERAGEIFS('Alle Resultate'!$K$2:$K$361,'Alle Resultate'!$A$2:$A$361,N$8,'Alle Resultate'!$B$2:$B$361,$B14,'Alle Resultate'!$C$2:$C$361,$A14)</x:f>
        <x:v>0.5689437017584504</x:v>
      </x:c>
      <x:c r="O14" s="24" t="n">
        <x:f>AVERAGEIFS('Alle Resultate'!$K$2:$K$361,'Alle Resultate'!$A$2:$A$361,O$8,'Alle Resultate'!$B$2:$B$361,$B14,'Alle Resultate'!$C$2:$C$361,$A14)</x:f>
        <x:v>0.6040122922443155</x:v>
      </x:c>
      <x:c r="P14" s="24" t="n">
        <x:f>AVERAGEIFS('Alle Resultate'!$K$2:$K$361,'Alle Resultate'!$A$2:$A$361,P$8,'Alle Resultate'!$B$2:$B$361,$B14,'Alle Resultate'!$C$2:$C$361,$A14)</x:f>
        <x:v>0.6040122922443155</x:v>
      </x:c>
      <x:c r="Q14" s="24" t="n">
        <x:f>AVERAGEIFS('Alle Resultate'!$K$2:$K$361,'Alle Resultate'!$A$2:$A$361,Q$8,'Alle Resultate'!$B$2:$B$361,$B14,'Alle Resultate'!$C$2:$C$361,$A14)</x:f>
        <x:v>0.5901280178767708</x:v>
      </x:c>
      <x:c r="R14" s="24" t="n">
        <x:f>AVERAGEIFS('Alle Resultate'!$K$2:$K$361,'Alle Resultate'!$A$2:$A$361,R$8,'Alle Resultate'!$B$2:$B$361,$B14,'Alle Resultate'!$C$2:$C$361,$A14)</x:f>
        <x:v>0.6106998698530037</x:v>
      </x:c>
      <x:c r="S14" s="24" t="n">
        <x:f>AVERAGEIFS('Alle Resultate'!$K$2:$K$361,'Alle Resultate'!$A$2:$A$361,S$8,'Alle Resultate'!$B$2:$B$361,$B14,'Alle Resultate'!$C$2:$C$361,$A14)</x:f>
        <x:v>0.6078393732492506</x:v>
      </x:c>
      <x:c r="T14" s="24" t="n">
        <x:f>AVERAGEIFS('Alle Resultate'!$K$2:$K$361,'Alle Resultate'!$A$2:$A$361,T$8,'Alle Resultate'!$B$2:$B$361,$B14,'Alle Resultate'!$C$2:$C$361,$A14)</x:f>
        <x:v>0.5820453579619471</x:v>
      </x:c>
      <x:c r="U14" s="78" t="n">
        <x:f>MAX(C14:T14)</x:f>
        <x:v>0.6106998698530037</x:v>
      </x:c>
      <x:c r="V14" s="79" t="str">
        <x:f>INDEX($C$8:$T$8,1,MATCH(U14,C14:T14,0))</x:f>
        <x:v>bin_mean</x:v>
      </x:c>
    </x:row>
    <x:row r="15">
      <x:c r="A15" s="23" t="str">
        <x:v>xgboost</x:v>
      </x:c>
      <x:c r="B15" s="23" t="str">
        <x:v>hnmr</x:v>
      </x:c>
      <x:c r="C15" s="24" t="n">
        <x:f>AVERAGEIFS('Alle Resultate'!$K$2:$K$361,'Alle Resultate'!$A$2:$A$361,C$8,'Alle Resultate'!$B$2:$B$361,$B15,'Alle Resultate'!$C$2:$C$361,$A15)</x:f>
        <x:v>0.5705394702961893</x:v>
      </x:c>
      <x:c r="D15" s="24" t="n">
        <x:f>AVERAGEIFS('Alle Resultate'!$K$2:$K$361,'Alle Resultate'!$A$2:$A$361,D$8,'Alle Resultate'!$B$2:$B$361,$B15,'Alle Resultate'!$C$2:$C$361,$A15)</x:f>
        <x:v>0.5085644301764749</x:v>
      </x:c>
      <x:c r="E15" s="24" t="n">
        <x:f>AVERAGEIFS('Alle Resultate'!$K$2:$K$361,'Alle Resultate'!$A$2:$A$361,E$8,'Alle Resultate'!$B$2:$B$361,$B15,'Alle Resultate'!$C$2:$C$361,$A15)</x:f>
        <x:v>0.5330146413961501</x:v>
      </x:c>
      <x:c r="F15" s="24" t="n">
        <x:f>AVERAGEIFS('Alle Resultate'!$K$2:$K$361,'Alle Resultate'!$A$2:$A$361,F$8,'Alle Resultate'!$B$2:$B$361,$B15,'Alle Resultate'!$C$2:$C$361,$A15)</x:f>
        <x:v>0.5330146413961501</x:v>
      </x:c>
      <x:c r="G15" s="24" t="n">
        <x:f>AVERAGEIFS('Alle Resultate'!$K$2:$K$361,'Alle Resultate'!$A$2:$A$361,G$8,'Alle Resultate'!$B$2:$B$361,$B15,'Alle Resultate'!$C$2:$C$361,$A15)</x:f>
        <x:v>0.5353980139267787</x:v>
      </x:c>
      <x:c r="H15" s="24" t="n">
        <x:f>AVERAGEIFS('Alle Resultate'!$K$2:$K$361,'Alle Resultate'!$A$2:$A$361,H$8,'Alle Resultate'!$B$2:$B$361,$B15,'Alle Resultate'!$C$2:$C$361,$A15)</x:f>
        <x:v>0.5347951233353854</x:v>
      </x:c>
      <x:c r="I15" s="24" t="n">
        <x:f>AVERAGEIFS('Alle Resultate'!$K$2:$K$361,'Alle Resultate'!$A$2:$A$361,I$8,'Alle Resultate'!$B$2:$B$361,$B15,'Alle Resultate'!$C$2:$C$361,$A15)</x:f>
        <x:v>0.5142552431632141</x:v>
      </x:c>
      <x:c r="J15" s="24" t="n">
        <x:f>AVERAGEIFS('Alle Resultate'!$K$2:$K$361,'Alle Resultate'!$A$2:$A$361,J$8,'Alle Resultate'!$B$2:$B$361,$B15,'Alle Resultate'!$C$2:$C$361,$A15)</x:f>
        <x:v>0.539492592897138</x:v>
      </x:c>
      <x:c r="K15" s="24" t="n">
        <x:f>AVERAGEIFS('Alle Resultate'!$K$2:$K$361,'Alle Resultate'!$A$2:$A$361,K$8,'Alle Resultate'!$B$2:$B$361,$B15,'Alle Resultate'!$C$2:$C$361,$A15)</x:f>
        <x:v>0.54451765708202</x:v>
      </x:c>
      <x:c r="L15" s="24" t="n">
        <x:f>AVERAGEIFS('Alle Resultate'!$K$2:$K$361,'Alle Resultate'!$A$2:$A$361,L$8,'Alle Resultate'!$B$2:$B$361,$B15,'Alle Resultate'!$C$2:$C$361,$A15)</x:f>
        <x:v>0.5559151458935069</x:v>
      </x:c>
      <x:c r="M15" s="24" t="n">
        <x:f>AVERAGEIFS('Alle Resultate'!$K$2:$K$361,'Alle Resultate'!$A$2:$A$361,M$8,'Alle Resultate'!$B$2:$B$361,$B15,'Alle Resultate'!$C$2:$C$361,$A15)</x:f>
        <x:v>0.5604258261907797</x:v>
      </x:c>
      <x:c r="N15" s="24" t="n">
        <x:f>AVERAGEIFS('Alle Resultate'!$K$2:$K$361,'Alle Resultate'!$A$2:$A$361,N$8,'Alle Resultate'!$B$2:$B$361,$B15,'Alle Resultate'!$C$2:$C$361,$A15)</x:f>
        <x:v>0.5412223747901399</x:v>
      </x:c>
      <x:c r="O15" s="24" t="n">
        <x:f>AVERAGEIFS('Alle Resultate'!$K$2:$K$361,'Alle Resultate'!$A$2:$A$361,O$8,'Alle Resultate'!$B$2:$B$361,$B15,'Alle Resultate'!$C$2:$C$361,$A15)</x:f>
        <x:v>0.5698069683666976</x:v>
      </x:c>
      <x:c r="P15" s="24" t="n">
        <x:f>AVERAGEIFS('Alle Resultate'!$K$2:$K$361,'Alle Resultate'!$A$2:$A$361,P$8,'Alle Resultate'!$B$2:$B$361,$B15,'Alle Resultate'!$C$2:$C$361,$A15)</x:f>
        <x:v>0.5701729612332997</x:v>
      </x:c>
      <x:c r="Q15" s="24" t="n">
        <x:f>AVERAGEIFS('Alle Resultate'!$K$2:$K$361,'Alle Resultate'!$A$2:$A$361,Q$8,'Alle Resultate'!$B$2:$B$361,$B15,'Alle Resultate'!$C$2:$C$361,$A15)</x:f>
        <x:v>0.5543954921479197</x:v>
      </x:c>
      <x:c r="R15" s="24" t="n">
        <x:f>AVERAGEIFS('Alle Resultate'!$K$2:$K$361,'Alle Resultate'!$A$2:$A$361,R$8,'Alle Resultate'!$B$2:$B$361,$B15,'Alle Resultate'!$C$2:$C$361,$A15)</x:f>
        <x:v>0.5802503671394491</x:v>
      </x:c>
      <x:c r="S15" s="24" t="n">
        <x:f>AVERAGEIFS('Alle Resultate'!$K$2:$K$361,'Alle Resultate'!$A$2:$A$361,S$8,'Alle Resultate'!$B$2:$B$361,$B15,'Alle Resultate'!$C$2:$C$361,$A15)</x:f>
        <x:v>0.5853071403452259</x:v>
      </x:c>
      <x:c r="T15" s="24" t="n">
        <x:f>AVERAGEIFS('Alle Resultate'!$K$2:$K$361,'Alle Resultate'!$A$2:$A$361,T$8,'Alle Resultate'!$B$2:$B$361,$B15,'Alle Resultate'!$C$2:$C$361,$A15)</x:f>
        <x:v>0.566765628745246</x:v>
      </x:c>
      <x:c r="U15" s="78" t="n">
        <x:f>MAX(C15:T15)</x:f>
        <x:v>0.5853071403452259</x:v>
      </x:c>
      <x:c r="V15" s="79" t="str">
        <x:f>INDEX($C$8:$T$8,1,MATCH(U15,C15:T15,0))</x:f>
        <x:v>bin_max</x:v>
      </x:c>
    </x:row>
    <x:row r="16">
      <x:c r="A16" s="23" t="str">
        <x:v>xgboost</x:v>
      </x:c>
      <x:c r="B16" s="23" t="str">
        <x:v>ir</x:v>
      </x:c>
      <x:c r="C16" s="24" t="n">
        <x:f>AVERAGEIFS('Alle Resultate'!$K$2:$K$361,'Alle Resultate'!$A$2:$A$361,C$8,'Alle Resultate'!$B$2:$B$361,$B16,'Alle Resultate'!$C$2:$C$361,$A16)</x:f>
        <x:v>0.6892911213206729</x:v>
      </x:c>
      <x:c r="D16" s="24" t="n">
        <x:f>AVERAGEIFS('Alle Resultate'!$K$2:$K$361,'Alle Resultate'!$A$2:$A$361,D$8,'Alle Resultate'!$B$2:$B$361,$B16,'Alle Resultate'!$C$2:$C$361,$A16)</x:f>
        <x:v>0.7025772799677499</x:v>
      </x:c>
      <x:c r="E16" s="24" t="n">
        <x:f>AVERAGEIFS('Alle Resultate'!$K$2:$K$361,'Alle Resultate'!$A$2:$A$361,E$8,'Alle Resultate'!$B$2:$B$361,$B16,'Alle Resultate'!$C$2:$C$361,$A16)</x:f>
        <x:v>0.675942378769056</x:v>
      </x:c>
      <x:c r="F16" s="24" t="n">
        <x:f>AVERAGEIFS('Alle Resultate'!$K$2:$K$361,'Alle Resultate'!$A$2:$A$361,F$8,'Alle Resultate'!$B$2:$B$361,$B16,'Alle Resultate'!$C$2:$C$361,$A16)</x:f>
        <x:v>0.6893591988723262</x:v>
      </x:c>
      <x:c r="G16" s="24" t="n">
        <x:f>AVERAGEIFS('Alle Resultate'!$K$2:$K$361,'Alle Resultate'!$A$2:$A$361,G$8,'Alle Resultate'!$B$2:$B$361,$B16,'Alle Resultate'!$C$2:$C$361,$A16)</x:f>
        <x:v>0.7066736131319804</x:v>
      </x:c>
      <x:c r="H16" s="24" t="n">
        <x:f>AVERAGEIFS('Alle Resultate'!$K$2:$K$361,'Alle Resultate'!$A$2:$A$361,H$8,'Alle Resultate'!$B$2:$B$361,$B16,'Alle Resultate'!$C$2:$C$361,$A16)</x:f>
        <x:v>0.6983257991295866</x:v>
      </x:c>
      <x:c r="I16" s="24" t="n">
        <x:f>AVERAGEIFS('Alle Resultate'!$K$2:$K$361,'Alle Resultate'!$A$2:$A$361,I$8,'Alle Resultate'!$B$2:$B$361,$B16,'Alle Resultate'!$C$2:$C$361,$A16)</x:f>
        <x:v>0.6998032321121377</x:v>
      </x:c>
      <x:c r="J16" s="24" t="n">
        <x:f>AVERAGEIFS('Alle Resultate'!$K$2:$K$361,'Alle Resultate'!$A$2:$A$361,J$8,'Alle Resultate'!$B$2:$B$361,$B16,'Alle Resultate'!$C$2:$C$361,$A16)</x:f>
        <x:v>0.6959723520506048</x:v>
      </x:c>
      <x:c r="K16" s="24" t="n">
        <x:f>AVERAGEIFS('Alle Resultate'!$K$2:$K$361,'Alle Resultate'!$A$2:$A$361,K$8,'Alle Resultate'!$B$2:$B$361,$B16,'Alle Resultate'!$C$2:$C$361,$A16)</x:f>
        <x:v>0.6969650918065631</x:v>
      </x:c>
      <x:c r="L16" s="24" t="n">
        <x:f>AVERAGEIFS('Alle Resultate'!$K$2:$K$361,'Alle Resultate'!$A$2:$A$361,L$8,'Alle Resultate'!$B$2:$B$361,$B16,'Alle Resultate'!$C$2:$C$361,$A16)</x:f>
        <x:v>0.6984433560615264</x:v>
      </x:c>
      <x:c r="M16" s="24" t="n">
        <x:f>AVERAGEIFS('Alle Resultate'!$K$2:$K$361,'Alle Resultate'!$A$2:$A$361,M$8,'Alle Resultate'!$B$2:$B$361,$B16,'Alle Resultate'!$C$2:$C$361,$A16)</x:f>
        <x:v>0.7027796105582715</x:v>
      </x:c>
      <x:c r="N16" s="24" t="n">
        <x:f>AVERAGEIFS('Alle Resultate'!$K$2:$K$361,'Alle Resultate'!$A$2:$A$361,N$8,'Alle Resultate'!$B$2:$B$361,$B16,'Alle Resultate'!$C$2:$C$361,$A16)</x:f>
        <x:v>0.6764415631170955</x:v>
      </x:c>
      <x:c r="O16" s="24" t="n">
        <x:f>AVERAGEIFS('Alle Resultate'!$K$2:$K$361,'Alle Resultate'!$A$2:$A$361,O$8,'Alle Resultate'!$B$2:$B$361,$B16,'Alle Resultate'!$C$2:$C$361,$A16)</x:f>
        <x:v>0.6897218327225492</x:v>
      </x:c>
      <x:c r="P16" s="24" t="n">
        <x:f>AVERAGEIFS('Alle Resultate'!$K$2:$K$361,'Alle Resultate'!$A$2:$A$361,P$8,'Alle Resultate'!$B$2:$B$361,$B16,'Alle Resultate'!$C$2:$C$361,$A16)</x:f>
        <x:v>0.6893845064499589</x:v>
      </x:c>
      <x:c r="Q16" s="24" t="n">
        <x:f>AVERAGEIFS('Alle Resultate'!$K$2:$K$361,'Alle Resultate'!$A$2:$A$361,Q$8,'Alle Resultate'!$B$2:$B$361,$B16,'Alle Resultate'!$C$2:$C$361,$A16)</x:f>
        <x:v>0.662456418344713</x:v>
      </x:c>
      <x:c r="R16" s="24" t="n">
        <x:f>AVERAGEIFS('Alle Resultate'!$K$2:$K$361,'Alle Resultate'!$A$2:$A$361,R$8,'Alle Resultate'!$B$2:$B$361,$B16,'Alle Resultate'!$C$2:$C$361,$A16)</x:f>
        <x:v>0.7010319292426042</x:v>
      </x:c>
      <x:c r="S16" s="24" t="n">
        <x:f>AVERAGEIFS('Alle Resultate'!$K$2:$K$361,'Alle Resultate'!$A$2:$A$361,S$8,'Alle Resultate'!$B$2:$B$361,$B16,'Alle Resultate'!$C$2:$C$361,$A16)</x:f>
        <x:v>0.6910104299038438</x:v>
      </x:c>
      <x:c r="T16" s="24" t="n">
        <x:f>AVERAGEIFS('Alle Resultate'!$K$2:$K$361,'Alle Resultate'!$A$2:$A$361,T$8,'Alle Resultate'!$B$2:$B$361,$B16,'Alle Resultate'!$C$2:$C$361,$A16)</x:f>
        <x:v>0.7031849028621558</x:v>
      </x:c>
      <x:c r="U16" s="78" t="n">
        <x:f>MAX(C16:T16)</x:f>
        <x:v>0.7066736131319804</x:v>
      </x:c>
      <x:c r="V16" s="79" t="str">
        <x:f>INDEX($C$8:$T$8,1,MATCH(U16,C16:T16,0))</x:f>
        <x:v>area</x:v>
      </x:c>
    </x:row>
    <x:row r="17">
      <x:c r="A17" s="23" t="str">
        <x:v>xgboost</x:v>
      </x:c>
      <x:c r="B17" s="23" t="str">
        <x:v>msms_pos</x:v>
      </x:c>
      <x:c r="C17" s="24" t="n">
        <x:f>AVERAGEIFS('Alle Resultate'!$K$2:$K$361,'Alle Resultate'!$A$2:$A$361,C$8,'Alle Resultate'!$B$2:$B$361,$B17,'Alle Resultate'!$C$2:$C$361,$A17)</x:f>
        <x:v>0.369747514877536</x:v>
      </x:c>
      <x:c r="D17" s="24" t="n">
        <x:f>AVERAGEIFS('Alle Resultate'!$K$2:$K$361,'Alle Resultate'!$A$2:$A$361,D$8,'Alle Resultate'!$B$2:$B$361,$B17,'Alle Resultate'!$C$2:$C$361,$A17)</x:f>
        <x:v>0.3694806517787846</x:v>
      </x:c>
      <x:c r="E17" s="24" t="n">
        <x:f>AVERAGEIFS('Alle Resultate'!$K$2:$K$361,'Alle Resultate'!$A$2:$A$361,E$8,'Alle Resultate'!$B$2:$B$361,$B17,'Alle Resultate'!$C$2:$C$361,$A17)</x:f>
        <x:v>0.3666041074445703</x:v>
      </x:c>
      <x:c r="F17" s="24" t="n">
        <x:f>AVERAGEIFS('Alle Resultate'!$K$2:$K$361,'Alle Resultate'!$A$2:$A$361,F$8,'Alle Resultate'!$B$2:$B$361,$B17,'Alle Resultate'!$C$2:$C$361,$A17)</x:f>
        <x:v>0.3666041074445703</x:v>
      </x:c>
      <x:c r="G17" s="24" t="n">
        <x:f>AVERAGEIFS('Alle Resultate'!$K$2:$K$361,'Alle Resultate'!$A$2:$A$361,G$8,'Alle Resultate'!$B$2:$B$361,$B17,'Alle Resultate'!$C$2:$C$361,$A17)</x:f>
        <x:v>0.36673199924840033</x:v>
      </x:c>
      <x:c r="H17" s="24" t="n">
        <x:f>AVERAGEIFS('Alle Resultate'!$K$2:$K$361,'Alle Resultate'!$A$2:$A$361,H$8,'Alle Resultate'!$B$2:$B$361,$B17,'Alle Resultate'!$C$2:$C$361,$A17)</x:f>
        <x:v>0.3663240546018358</x:v>
      </x:c>
      <x:c r="I17" s="24" t="n">
        <x:f>AVERAGEIFS('Alle Resultate'!$K$2:$K$361,'Alle Resultate'!$A$2:$A$361,I$8,'Alle Resultate'!$B$2:$B$361,$B17,'Alle Resultate'!$C$2:$C$361,$A17)</x:f>
        <x:v>0.36761770596857374</x:v>
      </x:c>
      <x:c r="J17" s="24" t="n">
        <x:f>AVERAGEIFS('Alle Resultate'!$K$2:$K$361,'Alle Resultate'!$A$2:$A$361,J$8,'Alle Resultate'!$B$2:$B$361,$B17,'Alle Resultate'!$C$2:$C$361,$A17)</x:f>
        <x:v>0.3667325966176527</x:v>
      </x:c>
      <x:c r="K17" s="24" t="n">
        <x:f>AVERAGEIFS('Alle Resultate'!$K$2:$K$361,'Alle Resultate'!$A$2:$A$361,K$8,'Alle Resultate'!$B$2:$B$361,$B17,'Alle Resultate'!$C$2:$C$361,$A17)</x:f>
        <x:v>0.3756832021527897</x:v>
      </x:c>
      <x:c r="L17" s="24" t="n">
        <x:f>AVERAGEIFS('Alle Resultate'!$K$2:$K$361,'Alle Resultate'!$A$2:$A$361,L$8,'Alle Resultate'!$B$2:$B$361,$B17,'Alle Resultate'!$C$2:$C$361,$A17)</x:f>
        <x:v>0.3745464208433366</x:v>
      </x:c>
      <x:c r="M17" s="24" t="n">
        <x:f>AVERAGEIFS('Alle Resultate'!$K$2:$K$361,'Alle Resultate'!$A$2:$A$361,M$8,'Alle Resultate'!$B$2:$B$361,$B17,'Alle Resultate'!$C$2:$C$361,$A17)</x:f>
        <x:v>0.3728078929332194</x:v>
      </x:c>
      <x:c r="N17" s="24" t="n">
        <x:f>AVERAGEIFS('Alle Resultate'!$K$2:$K$361,'Alle Resultate'!$A$2:$A$361,N$8,'Alle Resultate'!$B$2:$B$361,$B17,'Alle Resultate'!$C$2:$C$361,$A17)</x:f>
        <x:v>0.373978047786214</x:v>
      </x:c>
      <x:c r="O17" s="24" t="n">
        <x:f>AVERAGEIFS('Alle Resultate'!$K$2:$K$361,'Alle Resultate'!$A$2:$A$361,O$8,'Alle Resultate'!$B$2:$B$361,$B17,'Alle Resultate'!$C$2:$C$361,$A17)</x:f>
        <x:v>0.369747514877536</x:v>
      </x:c>
      <x:c r="P17" s="24" t="n">
        <x:f>AVERAGEIFS('Alle Resultate'!$K$2:$K$361,'Alle Resultate'!$A$2:$A$361,P$8,'Alle Resultate'!$B$2:$B$361,$B17,'Alle Resultate'!$C$2:$C$361,$A17)</x:f>
        <x:v>0.369747514877536</x:v>
      </x:c>
      <x:c r="Q17" s="24" t="n">
        <x:f>AVERAGEIFS('Alle Resultate'!$K$2:$K$361,'Alle Resultate'!$A$2:$A$361,Q$8,'Alle Resultate'!$B$2:$B$361,$B17,'Alle Resultate'!$C$2:$C$361,$A17)</x:f>
        <x:v>0.3700929147564459</x:v>
      </x:c>
      <x:c r="R17" s="24" t="n">
        <x:f>AVERAGEIFS('Alle Resultate'!$K$2:$K$361,'Alle Resultate'!$A$2:$A$361,R$8,'Alle Resultate'!$B$2:$B$361,$B17,'Alle Resultate'!$C$2:$C$361,$A17)</x:f>
        <x:v>0.4442629448591221</x:v>
      </x:c>
      <x:c r="S17" s="24" t="n">
        <x:f>AVERAGEIFS('Alle Resultate'!$K$2:$K$361,'Alle Resultate'!$A$2:$A$361,S$8,'Alle Resultate'!$B$2:$B$361,$B17,'Alle Resultate'!$C$2:$C$361,$A17)</x:f>
        <x:v>0.445267128365838</x:v>
      </x:c>
      <x:c r="T17" s="24" t="n">
        <x:f>AVERAGEIFS('Alle Resultate'!$K$2:$K$361,'Alle Resultate'!$A$2:$A$361,T$8,'Alle Resultate'!$B$2:$B$361,$B17,'Alle Resultate'!$C$2:$C$361,$A17)</x:f>
        <x:v>0.4585556063913273</x:v>
      </x:c>
      <x:c r="U17" s="78" t="n">
        <x:f>MAX(C17:T17)</x:f>
        <x:v>0.4585556063913273</x:v>
      </x:c>
      <x:c r="V17" s="79" t="str">
        <x:f>INDEX($C$8:$T$8,1,MATCH(U17,C17:T17,0))</x:f>
        <x:v>fir</x:v>
      </x:c>
    </x:row>
    <x:row r="18">
      <x:c r="A18" s="23" t="str">
        <x:v>xgboost</x:v>
      </x:c>
      <x:c r="B18" s="23" t="str">
        <x:v>msms_neg</x:v>
      </x:c>
      <x:c r="C18" s="24" t="n">
        <x:f>AVERAGEIFS('Alle Resultate'!$K$2:$K$361,'Alle Resultate'!$A$2:$A$361,C$8,'Alle Resultate'!$B$2:$B$361,$B18,'Alle Resultate'!$C$2:$C$361,$A18)</x:f>
        <x:v>0.36871176400768524</x:v>
      </x:c>
      <x:c r="D18" s="24" t="n">
        <x:f>AVERAGEIFS('Alle Resultate'!$K$2:$K$361,'Alle Resultate'!$A$2:$A$361,D$8,'Alle Resultate'!$B$2:$B$361,$B18,'Alle Resultate'!$C$2:$C$361,$A18)</x:f>
        <x:v>0.3744004625787091</x:v>
      </x:c>
      <x:c r="E18" s="24" t="n">
        <x:f>AVERAGEIFS('Alle Resultate'!$K$2:$K$361,'Alle Resultate'!$A$2:$A$361,E$8,'Alle Resultate'!$B$2:$B$361,$B18,'Alle Resultate'!$C$2:$C$361,$A18)</x:f>
        <x:v>0.36518897943743467</x:v>
      </x:c>
      <x:c r="F18" s="24" t="n">
        <x:f>AVERAGEIFS('Alle Resultate'!$K$2:$K$361,'Alle Resultate'!$A$2:$A$361,F$8,'Alle Resultate'!$B$2:$B$361,$B18,'Alle Resultate'!$C$2:$C$361,$A18)</x:f>
        <x:v>0.36518897943743467</x:v>
      </x:c>
      <x:c r="G18" s="24" t="n">
        <x:f>AVERAGEIFS('Alle Resultate'!$K$2:$K$361,'Alle Resultate'!$A$2:$A$361,G$8,'Alle Resultate'!$B$2:$B$361,$B18,'Alle Resultate'!$C$2:$C$361,$A18)</x:f>
        <x:v>0.36590055880476174</x:v>
      </x:c>
      <x:c r="H18" s="24" t="n">
        <x:f>AVERAGEIFS('Alle Resultate'!$K$2:$K$361,'Alle Resultate'!$A$2:$A$361,H$8,'Alle Resultate'!$B$2:$B$361,$B18,'Alle Resultate'!$C$2:$C$361,$A18)</x:f>
        <x:v>0.3658957507966176</x:v>
      </x:c>
      <x:c r="I18" s="24" t="n">
        <x:f>AVERAGEIFS('Alle Resultate'!$K$2:$K$361,'Alle Resultate'!$A$2:$A$361,I$8,'Alle Resultate'!$B$2:$B$361,$B18,'Alle Resultate'!$C$2:$C$361,$A18)</x:f>
        <x:v>0.36567770407479555</x:v>
      </x:c>
      <x:c r="J18" s="24" t="n">
        <x:f>AVERAGEIFS('Alle Resultate'!$K$2:$K$361,'Alle Resultate'!$A$2:$A$361,J$8,'Alle Resultate'!$B$2:$B$361,$B18,'Alle Resultate'!$C$2:$C$361,$A18)</x:f>
        <x:v>0.36590646953695993</x:v>
      </x:c>
      <x:c r="K18" s="24" t="n">
        <x:f>AVERAGEIFS('Alle Resultate'!$K$2:$K$361,'Alle Resultate'!$A$2:$A$361,K$8,'Alle Resultate'!$B$2:$B$361,$B18,'Alle Resultate'!$C$2:$C$361,$A18)</x:f>
        <x:v>0.3827450349276508</x:v>
      </x:c>
      <x:c r="L18" s="24" t="n">
        <x:f>AVERAGEIFS('Alle Resultate'!$K$2:$K$361,'Alle Resultate'!$A$2:$A$361,L$8,'Alle Resultate'!$B$2:$B$361,$B18,'Alle Resultate'!$C$2:$C$361,$A18)</x:f>
        <x:v>0.3815015615639196</x:v>
      </x:c>
      <x:c r="M18" s="24" t="n">
        <x:f>AVERAGEIFS('Alle Resultate'!$K$2:$K$361,'Alle Resultate'!$A$2:$A$361,M$8,'Alle Resultate'!$B$2:$B$361,$B18,'Alle Resultate'!$C$2:$C$361,$A18)</x:f>
        <x:v>0.37154134042370285</x:v>
      </x:c>
      <x:c r="N18" s="24" t="n">
        <x:f>AVERAGEIFS('Alle Resultate'!$K$2:$K$361,'Alle Resultate'!$A$2:$A$361,N$8,'Alle Resultate'!$B$2:$B$361,$B18,'Alle Resultate'!$C$2:$C$361,$A18)</x:f>
        <x:v>0.3804394631736288</x:v>
      </x:c>
      <x:c r="O18" s="24" t="n">
        <x:f>AVERAGEIFS('Alle Resultate'!$K$2:$K$361,'Alle Resultate'!$A$2:$A$361,O$8,'Alle Resultate'!$B$2:$B$361,$B18,'Alle Resultate'!$C$2:$C$361,$A18)</x:f>
        <x:v>0.36872067209789916</x:v>
      </x:c>
      <x:c r="P18" s="24" t="n">
        <x:f>AVERAGEIFS('Alle Resultate'!$K$2:$K$361,'Alle Resultate'!$A$2:$A$361,P$8,'Alle Resultate'!$B$2:$B$361,$B18,'Alle Resultate'!$C$2:$C$361,$A18)</x:f>
        <x:v>0.36871176400768524</x:v>
      </x:c>
      <x:c r="Q18" s="24" t="n">
        <x:f>AVERAGEIFS('Alle Resultate'!$K$2:$K$361,'Alle Resultate'!$A$2:$A$361,Q$8,'Alle Resultate'!$B$2:$B$361,$B18,'Alle Resultate'!$C$2:$C$361,$A18)</x:f>
        <x:v>0.3687405957031883</x:v>
      </x:c>
      <x:c r="R18" s="24" t="n">
        <x:f>AVERAGEIFS('Alle Resultate'!$K$2:$K$361,'Alle Resultate'!$A$2:$A$361,R$8,'Alle Resultate'!$B$2:$B$361,$B18,'Alle Resultate'!$C$2:$C$361,$A18)</x:f>
        <x:v>0.5024143966068124</x:v>
      </x:c>
      <x:c r="S18" s="24" t="n">
        <x:f>AVERAGEIFS('Alle Resultate'!$K$2:$K$361,'Alle Resultate'!$A$2:$A$361,S$8,'Alle Resultate'!$B$2:$B$361,$B18,'Alle Resultate'!$C$2:$C$361,$A18)</x:f>
        <x:v>0.49769790524445706</x:v>
      </x:c>
      <x:c r="T18" s="24" t="n">
        <x:f>AVERAGEIFS('Alle Resultate'!$K$2:$K$361,'Alle Resultate'!$A$2:$A$361,T$8,'Alle Resultate'!$B$2:$B$361,$B18,'Alle Resultate'!$C$2:$C$361,$A18)</x:f>
        <x:v>0.5265344117557318</x:v>
      </x:c>
      <x:c r="U18" s="78" t="n">
        <x:f>MAX(C18:T18)</x:f>
        <x:v>0.5265344117557318</x:v>
      </x:c>
      <x:c r="V18" s="79" t="str">
        <x:f>INDEX($C$8:$T$8,1,MATCH(U18,C18:T18,0))</x:f>
        <x:v>fir</x:v>
      </x:c>
    </x:row>
    <x:row r="19">
      <x:c r="A19" s="23" t="str">
        <x:v>mps</x:v>
      </x:c>
      <x:c r="B19" s="23" t="str">
        <x:v>cnmr</x:v>
      </x:c>
      <x:c r="C19" s="24" t="n">
        <x:f>AVERAGEIFS('Alle Resultate'!$K$2:$K$361,'Alle Resultate'!$A$2:$A$361,C$8,'Alle Resultate'!$B$2:$B$361,$B19,'Alle Resultate'!$C$2:$C$361,$A19)</x:f>
        <x:v>0.48815</x:v>
      </x:c>
      <x:c r="D19" s="24" t="n">
        <x:f>AVERAGEIFS('Alle Resultate'!$K$2:$K$361,'Alle Resultate'!$A$2:$A$361,D$8,'Alle Resultate'!$B$2:$B$361,$B19,'Alle Resultate'!$C$2:$C$361,$A19)</x:f>
        <x:v>0.5456</x:v>
      </x:c>
      <x:c r="E19" s="24" t="n">
        <x:f>AVERAGEIFS('Alle Resultate'!$K$2:$K$361,'Alle Resultate'!$A$2:$A$361,E$8,'Alle Resultate'!$B$2:$B$361,$B19,'Alle Resultate'!$C$2:$C$361,$A19)</x:f>
        <x:v>0.5088</x:v>
      </x:c>
      <x:c r="F19" s="24" t="n">
        <x:f>AVERAGEIFS('Alle Resultate'!$K$2:$K$361,'Alle Resultate'!$A$2:$A$361,F$8,'Alle Resultate'!$B$2:$B$361,$B19,'Alle Resultate'!$C$2:$C$361,$A19)</x:f>
        <x:v>0.5088</x:v>
      </x:c>
      <x:c r="G19" s="24" t="n">
        <x:f>AVERAGEIFS('Alle Resultate'!$K$2:$K$361,'Alle Resultate'!$A$2:$A$361,G$8,'Alle Resultate'!$B$2:$B$361,$B19,'Alle Resultate'!$C$2:$C$361,$A19)</x:f>
        <x:v>0.5039</x:v>
      </x:c>
      <x:c r="H19" s="24" t="n">
        <x:f>AVERAGEIFS('Alle Resultate'!$K$2:$K$361,'Alle Resultate'!$A$2:$A$361,H$8,'Alle Resultate'!$B$2:$B$361,$B19,'Alle Resultate'!$C$2:$C$361,$A19)</x:f>
        <x:v>0.51555</x:v>
      </x:c>
      <x:c r="I19" s="24" t="n">
        <x:f>AVERAGEIFS('Alle Resultate'!$K$2:$K$361,'Alle Resultate'!$A$2:$A$361,I$8,'Alle Resultate'!$B$2:$B$361,$B19,'Alle Resultate'!$C$2:$C$361,$A19)</x:f>
        <x:v>0.47675</x:v>
      </x:c>
      <x:c r="J19" s="24" t="n">
        <x:f>AVERAGEIFS('Alle Resultate'!$K$2:$K$361,'Alle Resultate'!$A$2:$A$361,J$8,'Alle Resultate'!$B$2:$B$361,$B19,'Alle Resultate'!$C$2:$C$361,$A19)</x:f>
        <x:v>0.4991</x:v>
      </x:c>
      <x:c r="K19" s="24" t="n">
        <x:f>AVERAGEIFS('Alle Resultate'!$K$2:$K$361,'Alle Resultate'!$A$2:$A$361,K$8,'Alle Resultate'!$B$2:$B$361,$B19,'Alle Resultate'!$C$2:$C$361,$A19)</x:f>
        <x:v>0.4412</x:v>
      </x:c>
      <x:c r="L19" s="24" t="n">
        <x:f>AVERAGEIFS('Alle Resultate'!$K$2:$K$361,'Alle Resultate'!$A$2:$A$361,L$8,'Alle Resultate'!$B$2:$B$361,$B19,'Alle Resultate'!$C$2:$C$361,$A19)</x:f>
        <x:v>0.4515</x:v>
      </x:c>
      <x:c r="M19" s="24" t="n">
        <x:f>AVERAGEIFS('Alle Resultate'!$K$2:$K$361,'Alle Resultate'!$A$2:$A$361,M$8,'Alle Resultate'!$B$2:$B$361,$B19,'Alle Resultate'!$C$2:$C$361,$A19)</x:f>
        <x:v>0.4561</x:v>
      </x:c>
      <x:c r="N19" s="24" t="n">
        <x:f>AVERAGEIFS('Alle Resultate'!$K$2:$K$361,'Alle Resultate'!$A$2:$A$361,N$8,'Alle Resultate'!$B$2:$B$361,$B19,'Alle Resultate'!$C$2:$C$361,$A19)</x:f>
        <x:v>0.43225</x:v>
      </x:c>
      <x:c r="O19" s="24" t="n">
        <x:f>AVERAGEIFS('Alle Resultate'!$K$2:$K$361,'Alle Resultate'!$A$2:$A$361,O$8,'Alle Resultate'!$B$2:$B$361,$B19,'Alle Resultate'!$C$2:$C$361,$A19)</x:f>
        <x:v>0.5509999999999999</x:v>
      </x:c>
      <x:c r="P19" s="24" t="n">
        <x:f>AVERAGEIFS('Alle Resultate'!$K$2:$K$361,'Alle Resultate'!$A$2:$A$361,P$8,'Alle Resultate'!$B$2:$B$361,$B19,'Alle Resultate'!$C$2:$C$361,$A19)</x:f>
        <x:v>0.48335</x:v>
      </x:c>
      <x:c r="Q19" s="24" t="n">
        <x:f>AVERAGEIFS('Alle Resultate'!$K$2:$K$361,'Alle Resultate'!$A$2:$A$361,Q$8,'Alle Resultate'!$B$2:$B$361,$B19,'Alle Resultate'!$C$2:$C$361,$A19)</x:f>
        <x:v>0.25645</x:v>
      </x:c>
      <x:c r="R19" s="24" t="n">
        <x:f>AVERAGEIFS('Alle Resultate'!$K$2:$K$361,'Alle Resultate'!$A$2:$A$361,R$8,'Alle Resultate'!$B$2:$B$361,$B19,'Alle Resultate'!$C$2:$C$361,$A19)</x:f>
        <x:v>0.5573</x:v>
      </x:c>
      <x:c r="S19" s="24" t="n">
        <x:f>AVERAGEIFS('Alle Resultate'!$K$2:$K$361,'Alle Resultate'!$A$2:$A$361,S$8,'Alle Resultate'!$B$2:$B$361,$B19,'Alle Resultate'!$C$2:$C$361,$A19)</x:f>
        <x:v>0.5541</x:v>
      </x:c>
      <x:c r="T19" s="24" t="n">
        <x:f>AVERAGEIFS('Alle Resultate'!$K$2:$K$361,'Alle Resultate'!$A$2:$A$361,T$8,'Alle Resultate'!$B$2:$B$361,$B19,'Alle Resultate'!$C$2:$C$361,$A19)</x:f>
        <x:v>0.558</x:v>
      </x:c>
      <x:c r="U19" s="78" t="n">
        <x:f>MAX(C19:T19)</x:f>
        <x:v>0.558</x:v>
      </x:c>
      <x:c r="V19" s="79" t="str">
        <x:f>INDEX($C$8:$T$8,1,MATCH(U19,C19:T19,0))</x:f>
        <x:v>fir</x:v>
      </x:c>
    </x:row>
    <x:row r="20">
      <x:c r="A20" s="23" t="str">
        <x:v>mps</x:v>
      </x:c>
      <x:c r="B20" s="23" t="str">
        <x:v>hnmr</x:v>
      </x:c>
      <x:c r="C20" s="24" t="n">
        <x:f>AVERAGEIFS('Alle Resultate'!$K$2:$K$361,'Alle Resultate'!$A$2:$A$361,C$8,'Alle Resultate'!$B$2:$B$361,$B20,'Alle Resultate'!$C$2:$C$361,$A20)</x:f>
        <x:v>0.5349</x:v>
      </x:c>
      <x:c r="D20" s="24" t="n">
        <x:f>AVERAGEIFS('Alle Resultate'!$K$2:$K$361,'Alle Resultate'!$A$2:$A$361,D$8,'Alle Resultate'!$B$2:$B$361,$B20,'Alle Resultate'!$C$2:$C$361,$A20)</x:f>
        <x:v>0.548</x:v>
      </x:c>
      <x:c r="E20" s="24" t="n">
        <x:f>AVERAGEIFS('Alle Resultate'!$K$2:$K$361,'Alle Resultate'!$A$2:$A$361,E$8,'Alle Resultate'!$B$2:$B$361,$B20,'Alle Resultate'!$C$2:$C$361,$A20)</x:f>
        <x:v>0.5365500000000001</x:v>
      </x:c>
      <x:c r="F20" s="24" t="n">
        <x:f>AVERAGEIFS('Alle Resultate'!$K$2:$K$361,'Alle Resultate'!$A$2:$A$361,F$8,'Alle Resultate'!$B$2:$B$361,$B20,'Alle Resultate'!$C$2:$C$361,$A20)</x:f>
        <x:v>0.5365500000000001</x:v>
      </x:c>
      <x:c r="G20" s="24" t="n">
        <x:f>AVERAGEIFS('Alle Resultate'!$K$2:$K$361,'Alle Resultate'!$A$2:$A$361,G$8,'Alle Resultate'!$B$2:$B$361,$B20,'Alle Resultate'!$C$2:$C$361,$A20)</x:f>
        <x:v>0.53605</x:v>
      </x:c>
      <x:c r="H20" s="24" t="n">
        <x:f>AVERAGEIFS('Alle Resultate'!$K$2:$K$361,'Alle Resultate'!$A$2:$A$361,H$8,'Alle Resultate'!$B$2:$B$361,$B20,'Alle Resultate'!$C$2:$C$361,$A20)</x:f>
        <x:v>0.5379</x:v>
      </x:c>
      <x:c r="I20" s="24" t="n">
        <x:f>AVERAGEIFS('Alle Resultate'!$K$2:$K$361,'Alle Resultate'!$A$2:$A$361,I$8,'Alle Resultate'!$B$2:$B$361,$B20,'Alle Resultate'!$C$2:$C$361,$A20)</x:f>
        <x:v>0.52805</x:v>
      </x:c>
      <x:c r="J20" s="24" t="n">
        <x:f>AVERAGEIFS('Alle Resultate'!$K$2:$K$361,'Alle Resultate'!$A$2:$A$361,J$8,'Alle Resultate'!$B$2:$B$361,$B20,'Alle Resultate'!$C$2:$C$361,$A20)</x:f>
        <x:v>0.5358499999999999</x:v>
      </x:c>
      <x:c r="K20" s="24" t="n">
        <x:f>AVERAGEIFS('Alle Resultate'!$K$2:$K$361,'Alle Resultate'!$A$2:$A$361,K$8,'Alle Resultate'!$B$2:$B$361,$B20,'Alle Resultate'!$C$2:$C$361,$A20)</x:f>
        <x:v>0.4821</x:v>
      </x:c>
      <x:c r="L20" s="24" t="n">
        <x:f>AVERAGEIFS('Alle Resultate'!$K$2:$K$361,'Alle Resultate'!$A$2:$A$361,L$8,'Alle Resultate'!$B$2:$B$361,$B20,'Alle Resultate'!$C$2:$C$361,$A20)</x:f>
        <x:v>0.48650000000000004</x:v>
      </x:c>
      <x:c r="M20" s="24" t="n">
        <x:f>AVERAGEIFS('Alle Resultate'!$K$2:$K$361,'Alle Resultate'!$A$2:$A$361,M$8,'Alle Resultate'!$B$2:$B$361,$B20,'Alle Resultate'!$C$2:$C$361,$A20)</x:f>
        <x:v>0.5041</x:v>
      </x:c>
      <x:c r="N20" s="24" t="n">
        <x:f>AVERAGEIFS('Alle Resultate'!$K$2:$K$361,'Alle Resultate'!$A$2:$A$361,N$8,'Alle Resultate'!$B$2:$B$361,$B20,'Alle Resultate'!$C$2:$C$361,$A20)</x:f>
        <x:v>0.45125000000000004</x:v>
      </x:c>
      <x:c r="O20" s="24" t="n">
        <x:f>AVERAGEIFS('Alle Resultate'!$K$2:$K$361,'Alle Resultate'!$A$2:$A$361,O$8,'Alle Resultate'!$B$2:$B$361,$B20,'Alle Resultate'!$C$2:$C$361,$A20)</x:f>
        <x:v>0.57585</x:v>
      </x:c>
      <x:c r="P20" s="24" t="n">
        <x:f>AVERAGEIFS('Alle Resultate'!$K$2:$K$361,'Alle Resultate'!$A$2:$A$361,P$8,'Alle Resultate'!$B$2:$B$361,$B20,'Alle Resultate'!$C$2:$C$361,$A20)</x:f>
        <x:v>0.53435</x:v>
      </x:c>
      <x:c r="Q20" s="24" t="n">
        <x:f>AVERAGEIFS('Alle Resultate'!$K$2:$K$361,'Alle Resultate'!$A$2:$A$361,Q$8,'Alle Resultate'!$B$2:$B$361,$B20,'Alle Resultate'!$C$2:$C$361,$A20)</x:f>
        <x:v>0.4923</x:v>
      </x:c>
      <x:c r="R20" s="24" t="n">
        <x:f>AVERAGEIFS('Alle Resultate'!$K$2:$K$361,'Alle Resultate'!$A$2:$A$361,R$8,'Alle Resultate'!$B$2:$B$361,$B20,'Alle Resultate'!$C$2:$C$361,$A20)</x:f>
        <x:v>0.5831</x:v>
      </x:c>
      <x:c r="S20" s="24" t="n">
        <x:f>AVERAGEIFS('Alle Resultate'!$K$2:$K$361,'Alle Resultate'!$A$2:$A$361,S$8,'Alle Resultate'!$B$2:$B$361,$B20,'Alle Resultate'!$C$2:$C$361,$A20)</x:f>
        <x:v>0.5794</x:v>
      </x:c>
      <x:c r="T20" s="24" t="n">
        <x:f>AVERAGEIFS('Alle Resultate'!$K$2:$K$361,'Alle Resultate'!$A$2:$A$361,T$8,'Alle Resultate'!$B$2:$B$361,$B20,'Alle Resultate'!$C$2:$C$361,$A20)</x:f>
        <x:v>0.5874</x:v>
      </x:c>
      <x:c r="U20" s="78" t="n">
        <x:f>MAX(C20:T20)</x:f>
        <x:v>0.5874</x:v>
      </x:c>
      <x:c r="V20" s="79" t="str">
        <x:f>INDEX($C$8:$T$8,1,MATCH(U20,C20:T20,0))</x:f>
        <x:v>fir</x:v>
      </x:c>
    </x:row>
    <x:row r="21">
      <x:c r="A21" s="23" t="str">
        <x:v>mps</x:v>
      </x:c>
      <x:c r="B21" s="23" t="str">
        <x:v>ir</x:v>
      </x:c>
      <x:c r="C21" s="24" t="n">
        <x:f>AVERAGEIFS('Alle Resultate'!$K$2:$K$361,'Alle Resultate'!$A$2:$A$361,C$8,'Alle Resultate'!$B$2:$B$361,$B21,'Alle Resultate'!$C$2:$C$361,$A21)</x:f>
        <x:v>0.76035</x:v>
      </x:c>
      <x:c r="D21" s="24" t="n">
        <x:f>AVERAGEIFS('Alle Resultate'!$K$2:$K$361,'Alle Resultate'!$A$2:$A$361,D$8,'Alle Resultate'!$B$2:$B$361,$B21,'Alle Resultate'!$C$2:$C$361,$A21)</x:f>
        <x:v>0.7542</x:v>
      </x:c>
      <x:c r="E21" s="24" t="n">
        <x:f>AVERAGEIFS('Alle Resultate'!$K$2:$K$361,'Alle Resultate'!$A$2:$A$361,E$8,'Alle Resultate'!$B$2:$B$361,$B21,'Alle Resultate'!$C$2:$C$361,$A21)</x:f>
        <x:v>0.7572</x:v>
      </x:c>
      <x:c r="F21" s="24" t="n">
        <x:f>AVERAGEIFS('Alle Resultate'!$K$2:$K$361,'Alle Resultate'!$A$2:$A$361,F$8,'Alle Resultate'!$B$2:$B$361,$B21,'Alle Resultate'!$C$2:$C$361,$A21)</x:f>
        <x:v>0.75865</x:v>
      </x:c>
      <x:c r="G21" s="24" t="n">
        <x:f>AVERAGEIFS('Alle Resultate'!$K$2:$K$361,'Alle Resultate'!$A$2:$A$361,G$8,'Alle Resultate'!$B$2:$B$361,$B21,'Alle Resultate'!$C$2:$C$361,$A21)</x:f>
        <x:v>0.7698</x:v>
      </x:c>
      <x:c r="H21" s="24" t="n">
        <x:f>AVERAGEIFS('Alle Resultate'!$K$2:$K$361,'Alle Resultate'!$A$2:$A$361,H$8,'Alle Resultate'!$B$2:$B$361,$B21,'Alle Resultate'!$C$2:$C$361,$A21)</x:f>
        <x:v>0.75945</x:v>
      </x:c>
      <x:c r="I21" s="24" t="n">
        <x:f>AVERAGEIFS('Alle Resultate'!$K$2:$K$361,'Alle Resultate'!$A$2:$A$361,I$8,'Alle Resultate'!$B$2:$B$361,$B21,'Alle Resultate'!$C$2:$C$361,$A21)</x:f>
        <x:v>0.75225</x:v>
      </x:c>
      <x:c r="J21" s="24" t="n">
        <x:f>AVERAGEIFS('Alle Resultate'!$K$2:$K$361,'Alle Resultate'!$A$2:$A$361,J$8,'Alle Resultate'!$B$2:$B$361,$B21,'Alle Resultate'!$C$2:$C$361,$A21)</x:f>
        <x:v>0.7586999999999999</x:v>
      </x:c>
      <x:c r="K21" s="24" t="n">
        <x:f>AVERAGEIFS('Alle Resultate'!$K$2:$K$361,'Alle Resultate'!$A$2:$A$361,K$8,'Alle Resultate'!$B$2:$B$361,$B21,'Alle Resultate'!$C$2:$C$361,$A21)</x:f>
        <x:v>0.7565999999999999</x:v>
      </x:c>
      <x:c r="L21" s="24" t="n">
        <x:f>AVERAGEIFS('Alle Resultate'!$K$2:$K$361,'Alle Resultate'!$A$2:$A$361,L$8,'Alle Resultate'!$B$2:$B$361,$B21,'Alle Resultate'!$C$2:$C$361,$A21)</x:f>
        <x:v>0.7787999999999999</x:v>
      </x:c>
      <x:c r="M21" s="24" t="n">
        <x:f>AVERAGEIFS('Alle Resultate'!$K$2:$K$361,'Alle Resultate'!$A$2:$A$361,M$8,'Alle Resultate'!$B$2:$B$361,$B21,'Alle Resultate'!$C$2:$C$361,$A21)</x:f>
        <x:v>0.77015</x:v>
      </x:c>
      <x:c r="N21" s="24" t="n">
        <x:f>AVERAGEIFS('Alle Resultate'!$K$2:$K$361,'Alle Resultate'!$A$2:$A$361,N$8,'Alle Resultate'!$B$2:$B$361,$B21,'Alle Resultate'!$C$2:$C$361,$A21)</x:f>
        <x:v>0.75515</x:v>
      </x:c>
      <x:c r="O21" s="24" t="n">
        <x:f>AVERAGEIFS('Alle Resultate'!$K$2:$K$361,'Alle Resultate'!$A$2:$A$361,O$8,'Alle Resultate'!$B$2:$B$361,$B21,'Alle Resultate'!$C$2:$C$361,$A21)</x:f>
        <x:v>0.76735</x:v>
      </x:c>
      <x:c r="P21" s="24" t="n">
        <x:f>AVERAGEIFS('Alle Resultate'!$K$2:$K$361,'Alle Resultate'!$A$2:$A$361,P$8,'Alle Resultate'!$B$2:$B$361,$B21,'Alle Resultate'!$C$2:$C$361,$A21)</x:f>
        <x:v>0.76395</x:v>
      </x:c>
      <x:c r="Q21" s="24" t="n">
        <x:f>AVERAGEIFS('Alle Resultate'!$K$2:$K$361,'Alle Resultate'!$A$2:$A$361,Q$8,'Alle Resultate'!$B$2:$B$361,$B21,'Alle Resultate'!$C$2:$C$361,$A21)</x:f>
        <x:v>0.7116</x:v>
      </x:c>
      <x:c r="R21" s="24" t="n">
        <x:f>AVERAGEIFS('Alle Resultate'!$K$2:$K$361,'Alle Resultate'!$A$2:$A$361,R$8,'Alle Resultate'!$B$2:$B$361,$B21,'Alle Resultate'!$C$2:$C$361,$A21)</x:f>
        <x:v>0.7697</x:v>
      </x:c>
      <x:c r="S21" s="24" t="n">
        <x:f>AVERAGEIFS('Alle Resultate'!$K$2:$K$361,'Alle Resultate'!$A$2:$A$361,S$8,'Alle Resultate'!$B$2:$B$361,$B21,'Alle Resultate'!$C$2:$C$361,$A21)</x:f>
        <x:v>0.75805</x:v>
      </x:c>
      <x:c r="T21" s="24" t="n">
        <x:f>AVERAGEIFS('Alle Resultate'!$K$2:$K$361,'Alle Resultate'!$A$2:$A$361,T$8,'Alle Resultate'!$B$2:$B$361,$B21,'Alle Resultate'!$C$2:$C$361,$A21)</x:f>
        <x:v>0.7746</x:v>
      </x:c>
      <x:c r="U21" s="78" t="n">
        <x:f>MAX(C21:T21)</x:f>
        <x:v>0.7787999999999999</x:v>
      </x:c>
      <x:c r="V21" s="79" t="str">
        <x:f>INDEX($C$8:$T$8,1,MATCH(U21,C21:T21,0))</x:f>
        <x:v>gaussian</x:v>
      </x:c>
    </x:row>
    <x:row r="22">
      <x:c r="A22" s="23" t="str">
        <x:v>mps</x:v>
      </x:c>
      <x:c r="B22" s="23" t="str">
        <x:v>msms_pos</x:v>
      </x:c>
      <x:c r="C22" s="24" t="n">
        <x:f>AVERAGEIFS('Alle Resultate'!$K$2:$K$361,'Alle Resultate'!$A$2:$A$361,C$8,'Alle Resultate'!$B$2:$B$361,$B22,'Alle Resultate'!$C$2:$C$361,$A22)</x:f>
        <x:v>0.22885</x:v>
      </x:c>
      <x:c r="D22" s="24" t="n">
        <x:f>AVERAGEIFS('Alle Resultate'!$K$2:$K$361,'Alle Resultate'!$A$2:$A$361,D$8,'Alle Resultate'!$B$2:$B$361,$B22,'Alle Resultate'!$C$2:$C$361,$A22)</x:f>
        <x:v>0.2374</x:v>
      </x:c>
      <x:c r="E22" s="24" t="n">
        <x:f>AVERAGEIFS('Alle Resultate'!$K$2:$K$361,'Alle Resultate'!$A$2:$A$361,E$8,'Alle Resultate'!$B$2:$B$361,$B22,'Alle Resultate'!$C$2:$C$361,$A22)</x:f>
        <x:v>0.2331</x:v>
      </x:c>
      <x:c r="F22" s="24" t="n">
        <x:f>AVERAGEIFS('Alle Resultate'!$K$2:$K$361,'Alle Resultate'!$A$2:$A$361,F$8,'Alle Resultate'!$B$2:$B$361,$B22,'Alle Resultate'!$C$2:$C$361,$A22)</x:f>
        <x:v>0.2331</x:v>
      </x:c>
      <x:c r="G22" s="24" t="n">
        <x:f>AVERAGEIFS('Alle Resultate'!$K$2:$K$361,'Alle Resultate'!$A$2:$A$361,G$8,'Alle Resultate'!$B$2:$B$361,$B22,'Alle Resultate'!$C$2:$C$361,$A22)</x:f>
        <x:v>0.23054999999999998</x:v>
      </x:c>
      <x:c r="H22" s="24" t="n">
        <x:f>AVERAGEIFS('Alle Resultate'!$K$2:$K$361,'Alle Resultate'!$A$2:$A$361,H$8,'Alle Resultate'!$B$2:$B$361,$B22,'Alle Resultate'!$C$2:$C$361,$A22)</x:f>
        <x:v>0.23645</x:v>
      </x:c>
      <x:c r="I22" s="24" t="n">
        <x:f>AVERAGEIFS('Alle Resultate'!$K$2:$K$361,'Alle Resultate'!$A$2:$A$361,I$8,'Alle Resultate'!$B$2:$B$361,$B22,'Alle Resultate'!$C$2:$C$361,$A22)</x:f>
        <x:v>0.23365</x:v>
      </x:c>
      <x:c r="J22" s="24" t="n">
        <x:f>AVERAGEIFS('Alle Resultate'!$K$2:$K$361,'Alle Resultate'!$A$2:$A$361,J$8,'Alle Resultate'!$B$2:$B$361,$B22,'Alle Resultate'!$C$2:$C$361,$A22)</x:f>
        <x:v>0.23325</x:v>
      </x:c>
      <x:c r="K22" s="24" t="n">
        <x:f>AVERAGEIFS('Alle Resultate'!$K$2:$K$361,'Alle Resultate'!$A$2:$A$361,K$8,'Alle Resultate'!$B$2:$B$361,$B22,'Alle Resultate'!$C$2:$C$361,$A22)</x:f>
        <x:v>0.2364</x:v>
      </x:c>
      <x:c r="L22" s="24" t="n">
        <x:f>AVERAGEIFS('Alle Resultate'!$K$2:$K$361,'Alle Resultate'!$A$2:$A$361,L$8,'Alle Resultate'!$B$2:$B$361,$B22,'Alle Resultate'!$C$2:$C$361,$A22)</x:f>
        <x:v>0.22885</x:v>
      </x:c>
      <x:c r="M22" s="24" t="n">
        <x:f>AVERAGEIFS('Alle Resultate'!$K$2:$K$361,'Alle Resultate'!$A$2:$A$361,M$8,'Alle Resultate'!$B$2:$B$361,$B22,'Alle Resultate'!$C$2:$C$361,$A22)</x:f>
        <x:v>0.229</x:v>
      </x:c>
      <x:c r="N22" s="24" t="n">
        <x:f>AVERAGEIFS('Alle Resultate'!$K$2:$K$361,'Alle Resultate'!$A$2:$A$361,N$8,'Alle Resultate'!$B$2:$B$361,$B22,'Alle Resultate'!$C$2:$C$361,$A22)</x:f>
        <x:v>0.2315</x:v>
      </x:c>
      <x:c r="O22" s="24" t="n">
        <x:f>AVERAGEIFS('Alle Resultate'!$K$2:$K$361,'Alle Resultate'!$A$2:$A$361,O$8,'Alle Resultate'!$B$2:$B$361,$B22,'Alle Resultate'!$C$2:$C$361,$A22)</x:f>
        <x:v>0.239</x:v>
      </x:c>
      <x:c r="P22" s="24" t="n">
        <x:f>AVERAGEIFS('Alle Resultate'!$K$2:$K$361,'Alle Resultate'!$A$2:$A$361,P$8,'Alle Resultate'!$B$2:$B$361,$B22,'Alle Resultate'!$C$2:$C$361,$A22)</x:f>
        <x:v>0.23954999999999999</x:v>
      </x:c>
      <x:c r="Q22" s="24" t="n">
        <x:f>AVERAGEIFS('Alle Resultate'!$K$2:$K$361,'Alle Resultate'!$A$2:$A$361,Q$8,'Alle Resultate'!$B$2:$B$361,$B22,'Alle Resultate'!$C$2:$C$361,$A22)</x:f>
        <x:v>0.23685</x:v>
      </x:c>
      <x:c r="R22" s="24" t="n">
        <x:f>AVERAGEIFS('Alle Resultate'!$K$2:$K$361,'Alle Resultate'!$A$2:$A$361,R$8,'Alle Resultate'!$B$2:$B$361,$B22,'Alle Resultate'!$C$2:$C$361,$A22)</x:f>
        <x:v>0.4153</x:v>
      </x:c>
      <x:c r="S22" s="24" t="n">
        <x:f>AVERAGEIFS('Alle Resultate'!$K$2:$K$361,'Alle Resultate'!$A$2:$A$361,S$8,'Alle Resultate'!$B$2:$B$361,$B22,'Alle Resultate'!$C$2:$C$361,$A22)</x:f>
        <x:v>0.41355</x:v>
      </x:c>
      <x:c r="T22" s="24" t="n">
        <x:f>AVERAGEIFS('Alle Resultate'!$K$2:$K$361,'Alle Resultate'!$A$2:$A$361,T$8,'Alle Resultate'!$B$2:$B$361,$B22,'Alle Resultate'!$C$2:$C$361,$A22)</x:f>
        <x:v>0.41855000000000003</x:v>
      </x:c>
      <x:c r="U22" s="78" t="n">
        <x:f>MAX(C22:T22)</x:f>
        <x:v>0.41855000000000003</x:v>
      </x:c>
      <x:c r="V22" s="79" t="str">
        <x:f>INDEX($C$8:$T$8,1,MATCH(U22,C22:T22,0))</x:f>
        <x:v>fir</x:v>
      </x:c>
    </x:row>
    <x:row r="23">
      <x:c r="A23" s="23" t="str">
        <x:v>mps</x:v>
      </x:c>
      <x:c r="B23" s="23" t="str">
        <x:v>msms_neg</x:v>
      </x:c>
      <x:c r="C23" s="24" t="n">
        <x:f>AVERAGEIFS('Alle Resultate'!$K$2:$K$361,'Alle Resultate'!$A$2:$A$361,C$8,'Alle Resultate'!$B$2:$B$361,$B23,'Alle Resultate'!$C$2:$C$361,$A23)</x:f>
        <x:v>0.22485</x:v>
      </x:c>
      <x:c r="D23" s="24" t="n">
        <x:f>AVERAGEIFS('Alle Resultate'!$K$2:$K$361,'Alle Resultate'!$A$2:$A$361,D$8,'Alle Resultate'!$B$2:$B$361,$B23,'Alle Resultate'!$C$2:$C$361,$A23)</x:f>
        <x:v>0.23399999999999999</x:v>
      </x:c>
      <x:c r="E23" s="24" t="n">
        <x:f>AVERAGEIFS('Alle Resultate'!$K$2:$K$361,'Alle Resultate'!$A$2:$A$361,E$8,'Alle Resultate'!$B$2:$B$361,$B23,'Alle Resultate'!$C$2:$C$361,$A23)</x:f>
        <x:v>0.23275</x:v>
      </x:c>
      <x:c r="F23" s="24" t="n">
        <x:f>AVERAGEIFS('Alle Resultate'!$K$2:$K$361,'Alle Resultate'!$A$2:$A$361,F$8,'Alle Resultate'!$B$2:$B$361,$B23,'Alle Resultate'!$C$2:$C$361,$A23)</x:f>
        <x:v>0.23275</x:v>
      </x:c>
      <x:c r="G23" s="24" t="n">
        <x:f>AVERAGEIFS('Alle Resultate'!$K$2:$K$361,'Alle Resultate'!$A$2:$A$361,G$8,'Alle Resultate'!$B$2:$B$361,$B23,'Alle Resultate'!$C$2:$C$361,$A23)</x:f>
        <x:v>0.227</x:v>
      </x:c>
      <x:c r="H23" s="24" t="n">
        <x:f>AVERAGEIFS('Alle Resultate'!$K$2:$K$361,'Alle Resultate'!$A$2:$A$361,H$8,'Alle Resultate'!$B$2:$B$361,$B23,'Alle Resultate'!$C$2:$C$361,$A23)</x:f>
        <x:v>0.22965000000000002</x:v>
      </x:c>
      <x:c r="I23" s="24" t="n">
        <x:f>AVERAGEIFS('Alle Resultate'!$K$2:$K$361,'Alle Resultate'!$A$2:$A$361,I$8,'Alle Resultate'!$B$2:$B$361,$B23,'Alle Resultate'!$C$2:$C$361,$A23)</x:f>
        <x:v>0.2274</x:v>
      </x:c>
      <x:c r="J23" s="24" t="n">
        <x:f>AVERAGEIFS('Alle Resultate'!$K$2:$K$361,'Alle Resultate'!$A$2:$A$361,J$8,'Alle Resultate'!$B$2:$B$361,$B23,'Alle Resultate'!$C$2:$C$361,$A23)</x:f>
        <x:v>0.22775</x:v>
      </x:c>
      <x:c r="K23" s="24" t="n">
        <x:f>AVERAGEIFS('Alle Resultate'!$K$2:$K$361,'Alle Resultate'!$A$2:$A$361,K$8,'Alle Resultate'!$B$2:$B$361,$B23,'Alle Resultate'!$C$2:$C$361,$A23)</x:f>
        <x:v>0.22575</x:v>
      </x:c>
      <x:c r="L23" s="24" t="n">
        <x:f>AVERAGEIFS('Alle Resultate'!$K$2:$K$361,'Alle Resultate'!$A$2:$A$361,L$8,'Alle Resultate'!$B$2:$B$361,$B23,'Alle Resultate'!$C$2:$C$361,$A23)</x:f>
        <x:v>0.2319</x:v>
      </x:c>
      <x:c r="M23" s="24" t="n">
        <x:f>AVERAGEIFS('Alle Resultate'!$K$2:$K$361,'Alle Resultate'!$A$2:$A$361,M$8,'Alle Resultate'!$B$2:$B$361,$B23,'Alle Resultate'!$C$2:$C$361,$A23)</x:f>
        <x:v>0.2262</x:v>
      </x:c>
      <x:c r="N23" s="24" t="n">
        <x:f>AVERAGEIFS('Alle Resultate'!$K$2:$K$361,'Alle Resultate'!$A$2:$A$361,N$8,'Alle Resultate'!$B$2:$B$361,$B23,'Alle Resultate'!$C$2:$C$361,$A23)</x:f>
        <x:v>0.223</x:v>
      </x:c>
      <x:c r="O23" s="24" t="n">
        <x:f>AVERAGEIFS('Alle Resultate'!$K$2:$K$361,'Alle Resultate'!$A$2:$A$361,O$8,'Alle Resultate'!$B$2:$B$361,$B23,'Alle Resultate'!$C$2:$C$361,$A23)</x:f>
        <x:v>0.23199999999999998</x:v>
      </x:c>
      <x:c r="P23" s="24" t="n">
        <x:f>AVERAGEIFS('Alle Resultate'!$K$2:$K$361,'Alle Resultate'!$A$2:$A$361,P$8,'Alle Resultate'!$B$2:$B$361,$B23,'Alle Resultate'!$C$2:$C$361,$A23)</x:f>
        <x:v>0.2286</x:v>
      </x:c>
      <x:c r="Q23" s="24" t="n">
        <x:f>AVERAGEIFS('Alle Resultate'!$K$2:$K$361,'Alle Resultate'!$A$2:$A$361,Q$8,'Alle Resultate'!$B$2:$B$361,$B23,'Alle Resultate'!$C$2:$C$361,$A23)</x:f>
        <x:v>0.22910000000000003</x:v>
      </x:c>
      <x:c r="R23" s="24" t="n">
        <x:f>AVERAGEIFS('Alle Resultate'!$K$2:$K$361,'Alle Resultate'!$A$2:$A$361,R$8,'Alle Resultate'!$B$2:$B$361,$B23,'Alle Resultate'!$C$2:$C$361,$A23)</x:f>
        <x:v>0.4332</x:v>
      </x:c>
      <x:c r="S23" s="24" t="n">
        <x:f>AVERAGEIFS('Alle Resultate'!$K$2:$K$361,'Alle Resultate'!$A$2:$A$361,S$8,'Alle Resultate'!$B$2:$B$361,$B23,'Alle Resultate'!$C$2:$C$361,$A23)</x:f>
        <x:v>0.4294</x:v>
      </x:c>
      <x:c r="T23" s="24" t="n">
        <x:f>AVERAGEIFS('Alle Resultate'!$K$2:$K$361,'Alle Resultate'!$A$2:$A$361,T$8,'Alle Resultate'!$B$2:$B$361,$B23,'Alle Resultate'!$C$2:$C$361,$A23)</x:f>
        <x:v>0.44484999999999997</x:v>
      </x:c>
      <x:c r="U23" s="78" t="n">
        <x:f>MAX(C23:T23)</x:f>
        <x:v>0.44484999999999997</x:v>
      </x:c>
      <x:c r="V23" s="79" t="str">
        <x:f>INDEX($C$8:$T$8,1,MATCH(U23,C23:T23,0))</x:f>
        <x:v>fir</x:v>
      </x:c>
    </x:row>
    <x:row r="24">
      <x:c r="A24" s="23" t="str">
        <x:v>ttn</x:v>
      </x:c>
      <x:c r="B24" s="23" t="str">
        <x:v>cnmr</x:v>
      </x:c>
      <x:c r="C24" s="24" t="n">
        <x:f>AVERAGEIFS('Alle Resultate'!$K$2:$K$361,'Alle Resultate'!$A$2:$A$361,C$8,'Alle Resultate'!$B$2:$B$361,$B24,'Alle Resultate'!$C$2:$C$361,$A24)</x:f>
        <x:v>0.5233637726924456</x:v>
      </x:c>
      <x:c r="D24" s="24" t="n">
        <x:f>AVERAGEIFS('Alle Resultate'!$K$2:$K$361,'Alle Resultate'!$A$2:$A$361,D$8,'Alle Resultate'!$B$2:$B$361,$B24,'Alle Resultate'!$C$2:$C$361,$A24)</x:f>
        <x:v>0.5255396760126209</x:v>
      </x:c>
      <x:c r="E24" s="24" t="n">
        <x:f>AVERAGEIFS('Alle Resultate'!$K$2:$K$361,'Alle Resultate'!$A$2:$A$361,E$8,'Alle Resultate'!$B$2:$B$361,$B24,'Alle Resultate'!$C$2:$C$361,$A24)</x:f>
        <x:v>0.5238973696382834</x:v>
      </x:c>
      <x:c r="F24" s="24" t="n">
        <x:f>AVERAGEIFS('Alle Resultate'!$K$2:$K$361,'Alle Resultate'!$A$2:$A$361,F$8,'Alle Resultate'!$B$2:$B$361,$B24,'Alle Resultate'!$C$2:$C$361,$A24)</x:f>
        <x:v>0.5238973696382834</x:v>
      </x:c>
      <x:c r="G24" s="24" t="n">
        <x:f>AVERAGEIFS('Alle Resultate'!$K$2:$K$361,'Alle Resultate'!$A$2:$A$361,G$8,'Alle Resultate'!$B$2:$B$361,$B24,'Alle Resultate'!$C$2:$C$361,$A24)</x:f>
        <x:v>0.526039734340279</x:v>
      </x:c>
      <x:c r="H24" s="24" t="n">
        <x:f>AVERAGEIFS('Alle Resultate'!$K$2:$K$361,'Alle Resultate'!$A$2:$A$361,H$8,'Alle Resultate'!$B$2:$B$361,$B24,'Alle Resultate'!$C$2:$C$361,$A24)</x:f>
        <x:v>0.5278723686728386</x:v>
      </x:c>
      <x:c r="I24" s="24" t="n">
        <x:f>AVERAGEIFS('Alle Resultate'!$K$2:$K$361,'Alle Resultate'!$A$2:$A$361,I$8,'Alle Resultate'!$B$2:$B$361,$B24,'Alle Resultate'!$C$2:$C$361,$A24)</x:f>
        <x:v>0.5246156776742109</x:v>
      </x:c>
      <x:c r="J24" s="24" t="n">
        <x:f>AVERAGEIFS('Alle Resultate'!$K$2:$K$361,'Alle Resultate'!$A$2:$A$361,J$8,'Alle Resultate'!$B$2:$B$361,$B24,'Alle Resultate'!$C$2:$C$361,$A24)</x:f>
        <x:v>0.5266484250300786</x:v>
      </x:c>
      <x:c r="K24" s="24" t="n">
        <x:f>AVERAGEIFS('Alle Resultate'!$K$2:$K$361,'Alle Resultate'!$A$2:$A$361,K$8,'Alle Resultate'!$B$2:$B$361,$B24,'Alle Resultate'!$C$2:$C$361,$A24)</x:f>
        <x:v>0.5207578087805024</x:v>
      </x:c>
      <x:c r="L24" s="24" t="n">
        <x:f>AVERAGEIFS('Alle Resultate'!$K$2:$K$361,'Alle Resultate'!$A$2:$A$361,L$8,'Alle Resultate'!$B$2:$B$361,$B24,'Alle Resultate'!$C$2:$C$361,$A24)</x:f>
        <x:v>0.5206821846932778</x:v>
      </x:c>
      <x:c r="M24" s="24" t="n">
        <x:f>AVERAGEIFS('Alle Resultate'!$K$2:$K$361,'Alle Resultate'!$A$2:$A$361,M$8,'Alle Resultate'!$B$2:$B$361,$B24,'Alle Resultate'!$C$2:$C$361,$A24)</x:f>
        <x:v>0.523458235056717</x:v>
      </x:c>
      <x:c r="N24" s="24" t="n">
        <x:f>AVERAGEIFS('Alle Resultate'!$K$2:$K$361,'Alle Resultate'!$A$2:$A$361,N$8,'Alle Resultate'!$B$2:$B$361,$B24,'Alle Resultate'!$C$2:$C$361,$A24)</x:f>
        <x:v>0.5197793626328755</x:v>
      </x:c>
      <x:c r="O24" s="24" t="n">
        <x:f>AVERAGEIFS('Alle Resultate'!$K$2:$K$361,'Alle Resultate'!$A$2:$A$361,O$8,'Alle Resultate'!$B$2:$B$361,$B24,'Alle Resultate'!$C$2:$C$361,$A24)</x:f>
        <x:v>0.5530496104478053</x:v>
      </x:c>
      <x:c r="P24" s="24" t="n">
        <x:f>AVERAGEIFS('Alle Resultate'!$K$2:$K$361,'Alle Resultate'!$A$2:$A$361,P$8,'Alle Resultate'!$B$2:$B$361,$B24,'Alle Resultate'!$C$2:$C$361,$A24)</x:f>
        <x:v>0.5220618916409301</x:v>
      </x:c>
      <x:c r="Q24" s="24" t="n">
        <x:f>AVERAGEIFS('Alle Resultate'!$K$2:$K$361,'Alle Resultate'!$A$2:$A$361,Q$8,'Alle Resultate'!$B$2:$B$361,$B24,'Alle Resultate'!$C$2:$C$361,$A24)</x:f>
        <x:v>0.5121660348497241</x:v>
      </x:c>
      <x:c r="R24" s="24" t="n">
        <x:f>AVERAGEIFS('Alle Resultate'!$K$2:$K$361,'Alle Resultate'!$A$2:$A$361,R$8,'Alle Resultate'!$B$2:$B$361,$B24,'Alle Resultate'!$C$2:$C$361,$A24)</x:f>
        <x:v>0.5692478634890125</x:v>
      </x:c>
      <x:c r="S24" s="24" t="n">
        <x:f>AVERAGEIFS('Alle Resultate'!$K$2:$K$361,'Alle Resultate'!$A$2:$A$361,S$8,'Alle Resultate'!$B$2:$B$361,$B24,'Alle Resultate'!$C$2:$C$361,$A24)</x:f>
        <x:v>0.5696294166121773</x:v>
      </x:c>
      <x:c r="T24" s="24" t="n">
        <x:f>AVERAGEIFS('Alle Resultate'!$K$2:$K$361,'Alle Resultate'!$A$2:$A$361,T$8,'Alle Resultate'!$B$2:$B$361,$B24,'Alle Resultate'!$C$2:$C$361,$A24)</x:f>
        <x:v>0.5725182146354557</x:v>
      </x:c>
      <x:c r="U24" s="78" t="n">
        <x:f>MAX(C24:T24)</x:f>
        <x:v>0.5725182146354557</x:v>
      </x:c>
      <x:c r="V24" s="79" t="str">
        <x:f>INDEX($C$8:$T$8,1,MATCH(U24,C24:T24,0))</x:f>
        <x:v>fir</x:v>
      </x:c>
    </x:row>
    <x:row r="25">
      <x:c r="A25" s="23" t="str">
        <x:v>ttn</x:v>
      </x:c>
      <x:c r="B25" s="23" t="str">
        <x:v>hnmr</x:v>
      </x:c>
      <x:c r="C25" s="24" t="n">
        <x:f>AVERAGEIFS('Alle Resultate'!$K$2:$K$361,'Alle Resultate'!$A$2:$A$361,C$8,'Alle Resultate'!$B$2:$B$361,$B25,'Alle Resultate'!$C$2:$C$361,$A25)</x:f>
        <x:v>0.49354365180016535</x:v>
      </x:c>
      <x:c r="D25" s="24" t="n">
        <x:f>AVERAGEIFS('Alle Resultate'!$K$2:$K$361,'Alle Resultate'!$A$2:$A$361,D$8,'Alle Resultate'!$B$2:$B$361,$B25,'Alle Resultate'!$C$2:$C$361,$A25)</x:f>
        <x:v>0.49873003282749007</x:v>
      </x:c>
      <x:c r="E25" s="24" t="n">
        <x:f>AVERAGEIFS('Alle Resultate'!$K$2:$K$361,'Alle Resultate'!$A$2:$A$361,E$8,'Alle Resultate'!$B$2:$B$361,$B25,'Alle Resultate'!$C$2:$C$361,$A25)</x:f>
        <x:v>0.49930195700569835</x:v>
      </x:c>
      <x:c r="F25" s="24" t="n">
        <x:f>AVERAGEIFS('Alle Resultate'!$K$2:$K$361,'Alle Resultate'!$A$2:$A$361,F$8,'Alle Resultate'!$B$2:$B$361,$B25,'Alle Resultate'!$C$2:$C$361,$A25)</x:f>
        <x:v>0.49930195700569835</x:v>
      </x:c>
      <x:c r="G25" s="24" t="n">
        <x:f>AVERAGEIFS('Alle Resultate'!$K$2:$K$361,'Alle Resultate'!$A$2:$A$361,G$8,'Alle Resultate'!$B$2:$B$361,$B25,'Alle Resultate'!$C$2:$C$361,$A25)</x:f>
        <x:v>0.4978859628824226</x:v>
      </x:c>
      <x:c r="H25" s="24" t="n">
        <x:f>AVERAGEIFS('Alle Resultate'!$K$2:$K$361,'Alle Resultate'!$A$2:$A$361,H$8,'Alle Resultate'!$B$2:$B$361,$B25,'Alle Resultate'!$C$2:$C$361,$A25)</x:f>
        <x:v>0.4977884312591827</x:v>
      </x:c>
      <x:c r="I25" s="24" t="n">
        <x:f>AVERAGEIFS('Alle Resultate'!$K$2:$K$361,'Alle Resultate'!$A$2:$A$361,I$8,'Alle Resultate'!$B$2:$B$361,$B25,'Alle Resultate'!$C$2:$C$361,$A25)</x:f>
        <x:v>0.48744907894856654</x:v>
      </x:c>
      <x:c r="J25" s="24" t="n">
        <x:f>AVERAGEIFS('Alle Resultate'!$K$2:$K$361,'Alle Resultate'!$A$2:$A$361,J$8,'Alle Resultate'!$B$2:$B$361,$B25,'Alle Resultate'!$C$2:$C$361,$A25)</x:f>
        <x:v>0.49659530798561874</x:v>
      </x:c>
      <x:c r="K25" s="24" t="n">
        <x:f>AVERAGEIFS('Alle Resultate'!$K$2:$K$361,'Alle Resultate'!$A$2:$A$361,K$8,'Alle Resultate'!$B$2:$B$361,$B25,'Alle Resultate'!$C$2:$C$361,$A25)</x:f>
        <x:v>0.48734929776306857</x:v>
      </x:c>
      <x:c r="L25" s="24" t="n">
        <x:f>AVERAGEIFS('Alle Resultate'!$K$2:$K$361,'Alle Resultate'!$A$2:$A$361,L$8,'Alle Resultate'!$B$2:$B$361,$B25,'Alle Resultate'!$C$2:$C$361,$A25)</x:f>
        <x:v>0.48449724878961786</x:v>
      </x:c>
      <x:c r="M25" s="24" t="n">
        <x:f>AVERAGEIFS('Alle Resultate'!$K$2:$K$361,'Alle Resultate'!$A$2:$A$361,M$8,'Alle Resultate'!$B$2:$B$361,$B25,'Alle Resultate'!$C$2:$C$361,$A25)</x:f>
        <x:v>0.4898522679725308</x:v>
      </x:c>
      <x:c r="N25" s="24" t="n">
        <x:f>AVERAGEIFS('Alle Resultate'!$K$2:$K$361,'Alle Resultate'!$A$2:$A$361,N$8,'Alle Resultate'!$B$2:$B$361,$B25,'Alle Resultate'!$C$2:$C$361,$A25)</x:f>
        <x:v>0.49091718869977585</x:v>
      </x:c>
      <x:c r="O25" s="24" t="n">
        <x:f>AVERAGEIFS('Alle Resultate'!$K$2:$K$361,'Alle Resultate'!$A$2:$A$361,O$8,'Alle Resultate'!$B$2:$B$361,$B25,'Alle Resultate'!$C$2:$C$361,$A25)</x:f>
        <x:v>0.5207981995117426</x:v>
      </x:c>
      <x:c r="P25" s="24" t="n">
        <x:f>AVERAGEIFS('Alle Resultate'!$K$2:$K$361,'Alle Resultate'!$A$2:$A$361,P$8,'Alle Resultate'!$B$2:$B$361,$B25,'Alle Resultate'!$C$2:$C$361,$A25)</x:f>
        <x:v>0.4911590013791245</x:v>
      </x:c>
      <x:c r="Q25" s="24" t="n">
        <x:f>AVERAGEIFS('Alle Resultate'!$K$2:$K$361,'Alle Resultate'!$A$2:$A$361,Q$8,'Alle Resultate'!$B$2:$B$361,$B25,'Alle Resultate'!$C$2:$C$361,$A25)</x:f>
        <x:v>0.48305671649861737</x:v>
      </x:c>
      <x:c r="R25" s="24" t="n">
        <x:f>AVERAGEIFS('Alle Resultate'!$K$2:$K$361,'Alle Resultate'!$A$2:$A$361,R$8,'Alle Resultate'!$B$2:$B$361,$B25,'Alle Resultate'!$C$2:$C$361,$A25)</x:f>
        <x:v>0.5344463153361393</x:v>
      </x:c>
      <x:c r="S25" s="24" t="n">
        <x:f>AVERAGEIFS('Alle Resultate'!$K$2:$K$361,'Alle Resultate'!$A$2:$A$361,S$8,'Alle Resultate'!$B$2:$B$361,$B25,'Alle Resultate'!$C$2:$C$361,$A25)</x:f>
        <x:v>0.5327105872764062</x:v>
      </x:c>
      <x:c r="T25" s="24" t="n">
        <x:f>AVERAGEIFS('Alle Resultate'!$K$2:$K$361,'Alle Resultate'!$A$2:$A$361,T$8,'Alle Resultate'!$B$2:$B$361,$B25,'Alle Resultate'!$C$2:$C$361,$A25)</x:f>
        <x:v>0.5252872157976196</x:v>
      </x:c>
      <x:c r="U25" s="78" t="n">
        <x:f>MAX(C25:T25)</x:f>
        <x:v>0.5344463153361393</x:v>
      </x:c>
      <x:c r="V25" s="79" t="str">
        <x:f>INDEX($C$8:$T$8,1,MATCH(U25,C25:T25,0))</x:f>
        <x:v>bin_mean</x:v>
      </x:c>
    </x:row>
    <x:row r="26">
      <x:c r="A26" s="23" t="str">
        <x:v>ttn</x:v>
      </x:c>
      <x:c r="B26" s="23" t="str">
        <x:v>ir</x:v>
      </x:c>
      <x:c r="C26" s="24" t="n">
        <x:f>AVERAGEIFS('Alle Resultate'!$K$2:$K$361,'Alle Resultate'!$A$2:$A$361,C$8,'Alle Resultate'!$B$2:$B$361,$B26,'Alle Resultate'!$C$2:$C$361,$A26)</x:f>
        <x:v>0.7106431237031401</x:v>
      </x:c>
      <x:c r="D26" s="24" t="n">
        <x:f>AVERAGEIFS('Alle Resultate'!$K$2:$K$361,'Alle Resultate'!$A$2:$A$361,D$8,'Alle Resultate'!$B$2:$B$361,$B26,'Alle Resultate'!$C$2:$C$361,$A26)</x:f>
        <x:v>0.7104112624584074</x:v>
      </x:c>
      <x:c r="E26" s="24" t="n">
        <x:f>AVERAGEIFS('Alle Resultate'!$K$2:$K$361,'Alle Resultate'!$A$2:$A$361,E$8,'Alle Resultate'!$B$2:$B$361,$B26,'Alle Resultate'!$C$2:$C$361,$A26)</x:f>
        <x:v>0.7021816591590699</x:v>
      </x:c>
      <x:c r="F26" s="24" t="n">
        <x:f>AVERAGEIFS('Alle Resultate'!$K$2:$K$361,'Alle Resultate'!$A$2:$A$361,F$8,'Alle Resultate'!$B$2:$B$361,$B26,'Alle Resultate'!$C$2:$C$361,$A26)</x:f>
        <x:v>0.7171354412106263</x:v>
      </x:c>
      <x:c r="G26" s="24" t="n">
        <x:f>AVERAGEIFS('Alle Resultate'!$K$2:$K$361,'Alle Resultate'!$A$2:$A$361,G$8,'Alle Resultate'!$B$2:$B$361,$B26,'Alle Resultate'!$C$2:$C$361,$A26)</x:f>
        <x:v>0.7095572553475845</x:v>
      </x:c>
      <x:c r="H26" s="24" t="n">
        <x:f>AVERAGEIFS('Alle Resultate'!$K$2:$K$361,'Alle Resultate'!$A$2:$A$361,H$8,'Alle Resultate'!$B$2:$B$361,$B26,'Alle Resultate'!$C$2:$C$361,$A26)</x:f>
        <x:v>0.7218079742434198</x:v>
      </x:c>
      <x:c r="I26" s="24" t="n">
        <x:f>AVERAGEIFS('Alle Resultate'!$K$2:$K$361,'Alle Resultate'!$A$2:$A$361,I$8,'Alle Resultate'!$B$2:$B$361,$B26,'Alle Resultate'!$C$2:$C$361,$A26)</x:f>
        <x:v>0.7081006091283597</x:v>
      </x:c>
      <x:c r="J26" s="24" t="n">
        <x:f>AVERAGEIFS('Alle Resultate'!$K$2:$K$361,'Alle Resultate'!$A$2:$A$361,J$8,'Alle Resultate'!$B$2:$B$361,$B26,'Alle Resultate'!$C$2:$C$361,$A26)</x:f>
        <x:v>0.7165335548711204</x:v>
      </x:c>
      <x:c r="K26" s="24" t="n">
        <x:f>AVERAGEIFS('Alle Resultate'!$K$2:$K$361,'Alle Resultate'!$A$2:$A$361,K$8,'Alle Resultate'!$B$2:$B$361,$B26,'Alle Resultate'!$C$2:$C$361,$A26)</x:f>
        <x:v>0.7193952121722078</x:v>
      </x:c>
      <x:c r="L26" s="24" t="n">
        <x:f>AVERAGEIFS('Alle Resultate'!$K$2:$K$361,'Alle Resultate'!$A$2:$A$361,L$8,'Alle Resultate'!$B$2:$B$361,$B26,'Alle Resultate'!$C$2:$C$361,$A26)</x:f>
        <x:v>0.7170067168483936</x:v>
      </x:c>
      <x:c r="M26" s="24" t="n">
        <x:f>AVERAGEIFS('Alle Resultate'!$K$2:$K$361,'Alle Resultate'!$A$2:$A$361,M$8,'Alle Resultate'!$B$2:$B$361,$B26,'Alle Resultate'!$C$2:$C$361,$A26)</x:f>
        <x:v>0.704412035853494</x:v>
      </x:c>
      <x:c r="N26" s="24" t="n">
        <x:f>AVERAGEIFS('Alle Resultate'!$K$2:$K$361,'Alle Resultate'!$A$2:$A$361,N$8,'Alle Resultate'!$B$2:$B$361,$B26,'Alle Resultate'!$C$2:$C$361,$A26)</x:f>
        <x:v>0.7203904835050028</x:v>
      </x:c>
      <x:c r="O26" s="24" t="n">
        <x:f>AVERAGEIFS('Alle Resultate'!$K$2:$K$361,'Alle Resultate'!$A$2:$A$361,O$8,'Alle Resultate'!$B$2:$B$361,$B26,'Alle Resultate'!$C$2:$C$361,$A26)</x:f>
        <x:v>0.7313551385331214</x:v>
      </x:c>
      <x:c r="P26" s="24" t="n">
        <x:f>AVERAGEIFS('Alle Resultate'!$K$2:$K$361,'Alle Resultate'!$A$2:$A$361,P$8,'Alle Resultate'!$B$2:$B$361,$B26,'Alle Resultate'!$C$2:$C$361,$A26)</x:f>
        <x:v>0.7145364861915118</x:v>
      </x:c>
      <x:c r="Q26" s="24" t="n">
        <x:f>AVERAGEIFS('Alle Resultate'!$K$2:$K$361,'Alle Resultate'!$A$2:$A$361,Q$8,'Alle Resultate'!$B$2:$B$361,$B26,'Alle Resultate'!$C$2:$C$361,$A26)</x:f>
        <x:v>0.6861413424278471</x:v>
      </x:c>
      <x:c r="R26" s="24" t="n">
        <x:f>AVERAGEIFS('Alle Resultate'!$K$2:$K$361,'Alle Resultate'!$A$2:$A$361,R$8,'Alle Resultate'!$B$2:$B$361,$B26,'Alle Resultate'!$C$2:$C$361,$A26)</x:f>
        <x:v>0.7456081708703438</x:v>
      </x:c>
      <x:c r="S26" s="24" t="n">
        <x:f>AVERAGEIFS('Alle Resultate'!$K$2:$K$361,'Alle Resultate'!$A$2:$A$361,S$8,'Alle Resultate'!$B$2:$B$361,$B26,'Alle Resultate'!$C$2:$C$361,$A26)</x:f>
        <x:v>0.7096673459305315</x:v>
      </x:c>
      <x:c r="T26" s="24" t="n">
        <x:f>AVERAGEIFS('Alle Resultate'!$K$2:$K$361,'Alle Resultate'!$A$2:$A$361,T$8,'Alle Resultate'!$B$2:$B$361,$B26,'Alle Resultate'!$C$2:$C$361,$A26)</x:f>
        <x:v>0.7332395237393365</x:v>
      </x:c>
      <x:c r="U26" s="78" t="n">
        <x:f>MAX(C26:T26)</x:f>
        <x:v>0.7456081708703438</x:v>
      </x:c>
      <x:c r="V26" s="79" t="str">
        <x:f>INDEX($C$8:$T$8,1,MATCH(U26,C26:T26,0))</x:f>
        <x:v>bin_mean</x:v>
      </x:c>
    </x:row>
    <x:row r="27">
      <x:c r="A27" s="23" t="str">
        <x:v>ttn</x:v>
      </x:c>
      <x:c r="B27" s="23" t="str">
        <x:v>msms_pos</x:v>
      </x:c>
      <x:c r="C27" s="24" t="n">
        <x:f>AVERAGEIFS('Alle Resultate'!$K$2:$K$361,'Alle Resultate'!$A$2:$A$361,C$8,'Alle Resultate'!$B$2:$B$361,$B27,'Alle Resultate'!$C$2:$C$361,$A27)</x:f>
        <x:v>0.39960934953014304</x:v>
      </x:c>
      <x:c r="D27" s="24" t="n">
        <x:f>AVERAGEIFS('Alle Resultate'!$K$2:$K$361,'Alle Resultate'!$A$2:$A$361,D$8,'Alle Resultate'!$B$2:$B$361,$B27,'Alle Resultate'!$C$2:$C$361,$A27)</x:f>
        <x:v>0.3949979857772053</x:v>
      </x:c>
      <x:c r="E27" s="24" t="n">
        <x:f>AVERAGEIFS('Alle Resultate'!$K$2:$K$361,'Alle Resultate'!$A$2:$A$361,E$8,'Alle Resultate'!$B$2:$B$361,$B27,'Alle Resultate'!$C$2:$C$361,$A27)</x:f>
        <x:v>0.39646544467499756</x:v>
      </x:c>
      <x:c r="F27" s="24" t="n">
        <x:f>AVERAGEIFS('Alle Resultate'!$K$2:$K$361,'Alle Resultate'!$A$2:$A$361,F$8,'Alle Resultate'!$B$2:$B$361,$B27,'Alle Resultate'!$C$2:$C$361,$A27)</x:f>
        <x:v>0.39646544467499756</x:v>
      </x:c>
      <x:c r="G27" s="24" t="n">
        <x:f>AVERAGEIFS('Alle Resultate'!$K$2:$K$361,'Alle Resultate'!$A$2:$A$361,G$8,'Alle Resultate'!$B$2:$B$361,$B27,'Alle Resultate'!$C$2:$C$361,$A27)</x:f>
        <x:v>0.3968100002331009</x:v>
      </x:c>
      <x:c r="H27" s="24" t="n">
        <x:f>AVERAGEIFS('Alle Resultate'!$K$2:$K$361,'Alle Resultate'!$A$2:$A$361,H$8,'Alle Resultate'!$B$2:$B$361,$B27,'Alle Resultate'!$C$2:$C$361,$A27)</x:f>
        <x:v>0.39288315044187444</x:v>
      </x:c>
      <x:c r="I27" s="24" t="n">
        <x:f>AVERAGEIFS('Alle Resultate'!$K$2:$K$361,'Alle Resultate'!$A$2:$A$361,I$8,'Alle Resultate'!$B$2:$B$361,$B27,'Alle Resultate'!$C$2:$C$361,$A27)</x:f>
        <x:v>0.3971064279654011</x:v>
      </x:c>
      <x:c r="J27" s="24" t="n">
        <x:f>AVERAGEIFS('Alle Resultate'!$K$2:$K$361,'Alle Resultate'!$A$2:$A$361,J$8,'Alle Resultate'!$B$2:$B$361,$B27,'Alle Resultate'!$C$2:$C$361,$A27)</x:f>
        <x:v>0.3956407733086799</x:v>
      </x:c>
      <x:c r="K27" s="24" t="n">
        <x:f>AVERAGEIFS('Alle Resultate'!$K$2:$K$361,'Alle Resultate'!$A$2:$A$361,K$8,'Alle Resultate'!$B$2:$B$361,$B27,'Alle Resultate'!$C$2:$C$361,$A27)</x:f>
        <x:v>0.4011111448978988</x:v>
      </x:c>
      <x:c r="L27" s="24" t="n">
        <x:f>AVERAGEIFS('Alle Resultate'!$K$2:$K$361,'Alle Resultate'!$A$2:$A$361,L$8,'Alle Resultate'!$B$2:$B$361,$B27,'Alle Resultate'!$C$2:$C$361,$A27)</x:f>
        <x:v>0.39261803133305784</x:v>
      </x:c>
      <x:c r="M27" s="24" t="n">
        <x:f>AVERAGEIFS('Alle Resultate'!$K$2:$K$361,'Alle Resultate'!$A$2:$A$361,M$8,'Alle Resultate'!$B$2:$B$361,$B27,'Alle Resultate'!$C$2:$C$361,$A27)</x:f>
        <x:v>0.3959399200121788</x:v>
      </x:c>
      <x:c r="N27" s="24" t="n">
        <x:f>AVERAGEIFS('Alle Resultate'!$K$2:$K$361,'Alle Resultate'!$A$2:$A$361,N$8,'Alle Resultate'!$B$2:$B$361,$B27,'Alle Resultate'!$C$2:$C$361,$A27)</x:f>
        <x:v>0.39250206088959055</x:v>
      </x:c>
      <x:c r="O27" s="24" t="n">
        <x:f>AVERAGEIFS('Alle Resultate'!$K$2:$K$361,'Alle Resultate'!$A$2:$A$361,O$8,'Alle Resultate'!$B$2:$B$361,$B27,'Alle Resultate'!$C$2:$C$361,$A27)</x:f>
        <x:v>0.398258062053013</x:v>
      </x:c>
      <x:c r="P27" s="24" t="n">
        <x:f>AVERAGEIFS('Alle Resultate'!$K$2:$K$361,'Alle Resultate'!$A$2:$A$361,P$8,'Alle Resultate'!$B$2:$B$361,$B27,'Alle Resultate'!$C$2:$C$361,$A27)</x:f>
        <x:v>0.39882352965833057</x:v>
      </x:c>
      <x:c r="Q27" s="24" t="n">
        <x:f>AVERAGEIFS('Alle Resultate'!$K$2:$K$361,'Alle Resultate'!$A$2:$A$361,Q$8,'Alle Resultate'!$B$2:$B$361,$B27,'Alle Resultate'!$C$2:$C$361,$A27)</x:f>
        <x:v>0.39846859965742404</x:v>
      </x:c>
      <x:c r="R27" s="24" t="n">
        <x:f>AVERAGEIFS('Alle Resultate'!$K$2:$K$361,'Alle Resultate'!$A$2:$A$361,R$8,'Alle Resultate'!$B$2:$B$361,$B27,'Alle Resultate'!$C$2:$C$361,$A27)</x:f>
        <x:v>0.4678558205659505</x:v>
      </x:c>
      <x:c r="S27" s="24" t="n">
        <x:f>AVERAGEIFS('Alle Resultate'!$K$2:$K$361,'Alle Resultate'!$A$2:$A$361,S$8,'Alle Resultate'!$B$2:$B$361,$B27,'Alle Resultate'!$C$2:$C$361,$A27)</x:f>
        <x:v>0.4625960278364219</x:v>
      </x:c>
      <x:c r="T27" s="24" t="n">
        <x:f>AVERAGEIFS('Alle Resultate'!$K$2:$K$361,'Alle Resultate'!$A$2:$A$361,T$8,'Alle Resultate'!$B$2:$B$361,$B27,'Alle Resultate'!$C$2:$C$361,$A27)</x:f>
        <x:v>0.4668631444160216</x:v>
      </x:c>
      <x:c r="U27" s="78" t="n">
        <x:f>MAX(C27:T27)</x:f>
        <x:v>0.4678558205659505</x:v>
      </x:c>
      <x:c r="V27" s="79" t="str">
        <x:f>INDEX($C$8:$T$8,1,MATCH(U27,C27:T27,0))</x:f>
        <x:v>bin_mean</x:v>
      </x:c>
    </x:row>
    <x:row r="28">
      <x:c r="A28" s="63" t="str">
        <x:v>ttn</x:v>
      </x:c>
      <x:c r="B28" s="63" t="str">
        <x:v>msms_neg</x:v>
      </x:c>
      <x:c r="C28" s="64" t="n">
        <x:f>AVERAGEIFS('Alle Resultate'!$K$2:$K$361,'Alle Resultate'!$A$2:$A$361,C$8,'Alle Resultate'!$B$2:$B$361,$B28,'Alle Resultate'!$C$2:$C$361,$A28)</x:f>
        <x:v>0.3960585673486797</x:v>
      </x:c>
      <x:c r="D28" s="64" t="n">
        <x:f>AVERAGEIFS('Alle Resultate'!$K$2:$K$361,'Alle Resultate'!$A$2:$A$361,D$8,'Alle Resultate'!$B$2:$B$361,$B28,'Alle Resultate'!$C$2:$C$361,$A28)</x:f>
        <x:v>0.3968171821669134</x:v>
      </x:c>
      <x:c r="E28" s="64" t="n">
        <x:f>AVERAGEIFS('Alle Resultate'!$K$2:$K$361,'Alle Resultate'!$A$2:$A$361,E$8,'Alle Resultate'!$B$2:$B$361,$B28,'Alle Resultate'!$C$2:$C$361,$A28)</x:f>
        <x:v>0.3964319183366428</x:v>
      </x:c>
      <x:c r="F28" s="64" t="n">
        <x:f>AVERAGEIFS('Alle Resultate'!$K$2:$K$361,'Alle Resultate'!$A$2:$A$361,F$8,'Alle Resultate'!$B$2:$B$361,$B28,'Alle Resultate'!$C$2:$C$361,$A28)</x:f>
        <x:v>0.3964319183366428</x:v>
      </x:c>
      <x:c r="G28" s="64" t="n">
        <x:f>AVERAGEIFS('Alle Resultate'!$K$2:$K$361,'Alle Resultate'!$A$2:$A$361,G$8,'Alle Resultate'!$B$2:$B$361,$B28,'Alle Resultate'!$C$2:$C$361,$A28)</x:f>
        <x:v>0.39570539224082446</x:v>
      </x:c>
      <x:c r="H28" s="64" t="n">
        <x:f>AVERAGEIFS('Alle Resultate'!$K$2:$K$361,'Alle Resultate'!$A$2:$A$361,H$8,'Alle Resultate'!$B$2:$B$361,$B28,'Alle Resultate'!$C$2:$C$361,$A28)</x:f>
        <x:v>0.3954980618428411</x:v>
      </x:c>
      <x:c r="I28" s="64" t="n">
        <x:f>AVERAGEIFS('Alle Resultate'!$K$2:$K$361,'Alle Resultate'!$A$2:$A$361,I$8,'Alle Resultate'!$B$2:$B$361,$B28,'Alle Resultate'!$C$2:$C$361,$A28)</x:f>
        <x:v>0.3958217727053726</x:v>
      </x:c>
      <x:c r="J28" s="64" t="n">
        <x:f>AVERAGEIFS('Alle Resultate'!$K$2:$K$361,'Alle Resultate'!$A$2:$A$361,J$8,'Alle Resultate'!$B$2:$B$361,$B28,'Alle Resultate'!$C$2:$C$361,$A28)</x:f>
        <x:v>0.39538915182327333</x:v>
      </x:c>
      <x:c r="K28" s="64" t="n">
        <x:f>AVERAGEIFS('Alle Resultate'!$K$2:$K$361,'Alle Resultate'!$A$2:$A$361,K$8,'Alle Resultate'!$B$2:$B$361,$B28,'Alle Resultate'!$C$2:$C$361,$A28)</x:f>
        <x:v>0.39603681501165233</x:v>
      </x:c>
      <x:c r="L28" s="64" t="n">
        <x:f>AVERAGEIFS('Alle Resultate'!$K$2:$K$361,'Alle Resultate'!$A$2:$A$361,L$8,'Alle Resultate'!$B$2:$B$361,$B28,'Alle Resultate'!$C$2:$C$361,$A28)</x:f>
        <x:v>0.39664082709740783</x:v>
      </x:c>
      <x:c r="M28" s="64" t="n">
        <x:f>AVERAGEIFS('Alle Resultate'!$K$2:$K$361,'Alle Resultate'!$A$2:$A$361,M$8,'Alle Resultate'!$B$2:$B$361,$B28,'Alle Resultate'!$C$2:$C$361,$A28)</x:f>
        <x:v>0.3951545225552696</x:v>
      </x:c>
      <x:c r="N28" s="64" t="n">
        <x:f>AVERAGEIFS('Alle Resultate'!$K$2:$K$361,'Alle Resultate'!$A$2:$A$361,N$8,'Alle Resultate'!$B$2:$B$361,$B28,'Alle Resultate'!$C$2:$C$361,$A28)</x:f>
        <x:v>0.3961808959929769</x:v>
      </x:c>
      <x:c r="O28" s="64" t="n">
        <x:f>AVERAGEIFS('Alle Resultate'!$K$2:$K$361,'Alle Resultate'!$A$2:$A$361,O$8,'Alle Resultate'!$B$2:$B$361,$B28,'Alle Resultate'!$C$2:$C$361,$A28)</x:f>
        <x:v>0.39765234521955006</x:v>
      </x:c>
      <x:c r="P28" s="64" t="n">
        <x:f>AVERAGEIFS('Alle Resultate'!$K$2:$K$361,'Alle Resultate'!$A$2:$A$361,P$8,'Alle Resultate'!$B$2:$B$361,$B28,'Alle Resultate'!$C$2:$C$361,$A28)</x:f>
        <x:v>0.3969110926738747</x:v>
      </x:c>
      <x:c r="Q28" s="64" t="n">
        <x:f>AVERAGEIFS('Alle Resultate'!$K$2:$K$361,'Alle Resultate'!$A$2:$A$361,Q$8,'Alle Resultate'!$B$2:$B$361,$B28,'Alle Resultate'!$C$2:$C$361,$A28)</x:f>
        <x:v>0.39876929463612243</x:v>
      </x:c>
      <x:c r="R28" s="64" t="n">
        <x:f>AVERAGEIFS('Alle Resultate'!$K$2:$K$361,'Alle Resultate'!$A$2:$A$361,R$8,'Alle Resultate'!$B$2:$B$361,$B28,'Alle Resultate'!$C$2:$C$361,$A28)</x:f>
        <x:v>0.5108478838039947</x:v>
      </x:c>
      <x:c r="S28" s="64" t="n">
        <x:f>AVERAGEIFS('Alle Resultate'!$K$2:$K$361,'Alle Resultate'!$A$2:$A$361,S$8,'Alle Resultate'!$B$2:$B$361,$B28,'Alle Resultate'!$C$2:$C$361,$A28)</x:f>
        <x:v>0.5020856675577148</x:v>
      </x:c>
      <x:c r="T28" s="64" t="n">
        <x:f>AVERAGEIFS('Alle Resultate'!$K$2:$K$361,'Alle Resultate'!$A$2:$A$361,T$8,'Alle Resultate'!$B$2:$B$361,$B28,'Alle Resultate'!$C$2:$C$361,$A28)</x:f>
        <x:v>0.5087897852591372</x:v>
      </x:c>
      <x:c r="U28" s="80" t="n">
        <x:f>MAX(C28:T28)</x:f>
        <x:v>0.5108478838039947</x:v>
      </x:c>
      <x:c r="V28" s="81" t="str">
        <x:f>INDEX($C$8:$T$8,1,MATCH(U28,C28:T28,0))</x:f>
        <x:v>bin_mean</x:v>
      </x:c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</x:row>
    <x:row r="31">
      <x:c r="A31" s="55" t="str">
        <x:v>Test F1 blend</x:v>
      </x:c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</x:row>
    <x:row r="33">
      <x:c r="A33" s="17" t="str">
        <x:v>ML-Modell</x:v>
      </x:c>
      <x:c r="B33" s="18" t="str">
        <x:v>Spektrum</x:v>
      </x:c>
      <x:c r="C33" s="18" t="str">
        <x:v>none</x:v>
      </x:c>
      <x:c r="D33" s="18" t="str">
        <x:v>snv</x:v>
      </x:c>
      <x:c r="E33" s="18" t="str">
        <x:v>minmax</x:v>
      </x:c>
      <x:c r="F33" s="18" t="str">
        <x:v>max</x:v>
      </x:c>
      <x:c r="G33" s="18" t="str">
        <x:v>area</x:v>
      </x:c>
      <x:c r="H33" s="18" t="str">
        <x:v>l2</x:v>
      </x:c>
      <x:c r="I33" s="18" t="str">
        <x:v>quantile</x:v>
      </x:c>
      <x:c r="J33" s="18" t="str">
        <x:v>pqn</x:v>
      </x:c>
      <x:c r="K33" s="18" t="str">
        <x:v>savgol</x:v>
      </x:c>
      <x:c r="L33" s="18" t="str">
        <x:v>gaussian</x:v>
      </x:c>
      <x:c r="M33" s="18" t="str">
        <x:v>moving_average</x:v>
      </x:c>
      <x:c r="N33" s="18" t="str">
        <x:v>lorentz</x:v>
      </x:c>
      <x:c r="O33" s="18" t="str">
        <x:v>sqrt</x:v>
      </x:c>
      <x:c r="P33" s="18" t="str">
        <x:v>log1p</x:v>
      </x:c>
      <x:c r="Q33" s="18" t="str">
        <x:v>derivative</x:v>
      </x:c>
      <x:c r="R33" s="18" t="str">
        <x:v>bin_mean</x:v>
      </x:c>
      <x:c r="S33" s="18" t="str">
        <x:v>bin_max</x:v>
      </x:c>
      <x:c r="T33" s="18" t="str">
        <x:v>fir</x:v>
      </x:c>
      <x:c r="U33" s="18" t="str">
        <x:v>Bestwert</x:v>
      </x:c>
      <x:c r="V33" s="19" t="str">
        <x:v>Bester Parameter</x:v>
      </x:c>
    </x:row>
    <x:row r="34">
      <x:c r="A34" s="23" t="str">
        <x:v>cnn</x:v>
      </x:c>
      <x:c r="B34" s="23" t="str">
        <x:v>cnmr</x:v>
      </x:c>
      <x:c r="C34" s="24" t="n">
        <x:f>AVERAGEIFS('Alle Resultate'!$O$2:$O$361,'Alle Resultate'!$A$2:$A$361,C$33,'Alle Resultate'!$B$2:$B$361,$B34,'Alle Resultate'!$C$2:$C$361,$A34)</x:f>
        <x:v>0.3052724330261679</x:v>
      </x:c>
      <x:c r="D34" s="24" t="n">
        <x:f>AVERAGEIFS('Alle Resultate'!$O$2:$O$361,'Alle Resultate'!$A$2:$A$361,D$33,'Alle Resultate'!$B$2:$B$361,$B34,'Alle Resultate'!$C$2:$C$361,$A34)</x:f>
        <x:v>0.5589906830573024</x:v>
      </x:c>
      <x:c r="E34" s="24" t="n">
        <x:f>AVERAGEIFS('Alle Resultate'!$O$2:$O$361,'Alle Resultate'!$A$2:$A$361,E$33,'Alle Resultate'!$B$2:$B$361,$B34,'Alle Resultate'!$C$2:$C$361,$A34)</x:f>
        <x:v>0.455186767794036</x:v>
      </x:c>
      <x:c r="F34" s="24" t="n">
        <x:f>AVERAGEIFS('Alle Resultate'!$O$2:$O$361,'Alle Resultate'!$A$2:$A$361,F$33,'Alle Resultate'!$B$2:$B$361,$B34,'Alle Resultate'!$C$2:$C$361,$A34)</x:f>
        <x:v>0.4584445547666076</x:v>
      </x:c>
      <x:c r="G34" s="24" t="n">
        <x:f>AVERAGEIFS('Alle Resultate'!$O$2:$O$361,'Alle Resultate'!$A$2:$A$361,G$33,'Alle Resultate'!$B$2:$B$361,$B34,'Alle Resultate'!$C$2:$C$361,$A34)</x:f>
        <x:v>0.3907610300003924</x:v>
      </x:c>
      <x:c r="H34" s="24" t="n">
        <x:f>AVERAGEIFS('Alle Resultate'!$O$2:$O$361,'Alle Resultate'!$A$2:$A$361,H$33,'Alle Resultate'!$B$2:$B$361,$B34,'Alle Resultate'!$C$2:$C$361,$A34)</x:f>
        <x:v>0.3343352483007092</x:v>
      </x:c>
      <x:c r="I34" s="24" t="n">
        <x:f>AVERAGEIFS('Alle Resultate'!$O$2:$O$361,'Alle Resultate'!$A$2:$A$361,I$33,'Alle Resultate'!$B$2:$B$361,$B34,'Alle Resultate'!$C$2:$C$361,$A34)</x:f>
        <x:v>0.18097042225366697</x:v>
      </x:c>
      <x:c r="J34" s="24" t="n">
        <x:f>AVERAGEIFS('Alle Resultate'!$O$2:$O$361,'Alle Resultate'!$A$2:$A$361,J$33,'Alle Resultate'!$B$2:$B$361,$B34,'Alle Resultate'!$C$2:$C$361,$A34)</x:f>
        <x:v>0.36012828743257363</x:v>
      </x:c>
      <x:c r="K34" s="24" t="n">
        <x:f>AVERAGEIFS('Alle Resultate'!$O$2:$O$361,'Alle Resultate'!$A$2:$A$361,K$33,'Alle Resultate'!$B$2:$B$361,$B34,'Alle Resultate'!$C$2:$C$361,$A34)</x:f>
        <x:v>0.28590155944086604</x:v>
      </x:c>
      <x:c r="L34" s="24" t="n">
        <x:f>AVERAGEIFS('Alle Resultate'!$O$2:$O$361,'Alle Resultate'!$A$2:$A$361,L$33,'Alle Resultate'!$B$2:$B$361,$B34,'Alle Resultate'!$C$2:$C$361,$A34)</x:f>
        <x:v>0.31950216799988296</x:v>
      </x:c>
      <x:c r="M34" s="24" t="n">
        <x:f>AVERAGEIFS('Alle Resultate'!$O$2:$O$361,'Alle Resultate'!$A$2:$A$361,M$33,'Alle Resultate'!$B$2:$B$361,$B34,'Alle Resultate'!$C$2:$C$361,$A34)</x:f>
        <x:v>0.3693771988449043</x:v>
      </x:c>
      <x:c r="N34" s="24" t="n">
        <x:f>AVERAGEIFS('Alle Resultate'!$O$2:$O$361,'Alle Resultate'!$A$2:$A$361,N$33,'Alle Resultate'!$B$2:$B$361,$B34,'Alle Resultate'!$C$2:$C$361,$A34)</x:f>
        <x:v>0.301995103470468</x:v>
      </x:c>
      <x:c r="O34" s="24" t="n">
        <x:f>AVERAGEIFS('Alle Resultate'!$O$2:$O$361,'Alle Resultate'!$A$2:$A$361,O$33,'Alle Resultate'!$B$2:$B$361,$B34,'Alle Resultate'!$C$2:$C$361,$A34)</x:f>
        <x:v>0.3199762034485248</x:v>
      </x:c>
      <x:c r="P34" s="24" t="n">
        <x:f>AVERAGEIFS('Alle Resultate'!$O$2:$O$361,'Alle Resultate'!$A$2:$A$361,P$33,'Alle Resultate'!$B$2:$B$361,$B34,'Alle Resultate'!$C$2:$C$361,$A34)</x:f>
        <x:v>0.32699199803869766</x:v>
      </x:c>
      <x:c r="Q34" s="24" t="n">
        <x:f>AVERAGEIFS('Alle Resultate'!$O$2:$O$361,'Alle Resultate'!$A$2:$A$361,Q$33,'Alle Resultate'!$B$2:$B$361,$B34,'Alle Resultate'!$C$2:$C$361,$A34)</x:f>
        <x:v>0.3555823334606078</x:v>
      </x:c>
      <x:c r="R34" s="24" t="n">
        <x:f>AVERAGEIFS('Alle Resultate'!$O$2:$O$361,'Alle Resultate'!$A$2:$A$361,R$33,'Alle Resultate'!$B$2:$B$361,$B34,'Alle Resultate'!$C$2:$C$361,$A34)</x:f>
        <x:v>0.2993270751948913</x:v>
      </x:c>
      <x:c r="S34" s="24" t="n">
        <x:f>AVERAGEIFS('Alle Resultate'!$O$2:$O$361,'Alle Resultate'!$A$2:$A$361,S$33,'Alle Resultate'!$B$2:$B$361,$B34,'Alle Resultate'!$C$2:$C$361,$A34)</x:f>
        <x:v>0.30994682393401785</x:v>
      </x:c>
      <x:c r="T34" s="24" t="n">
        <x:f>AVERAGEIFS('Alle Resultate'!$O$2:$O$361,'Alle Resultate'!$A$2:$A$361,T$33,'Alle Resultate'!$B$2:$B$361,$B34,'Alle Resultate'!$C$2:$C$361,$A34)</x:f>
        <x:v>0.29691758695372716</x:v>
      </x:c>
      <x:c r="U34" s="78" t="n">
        <x:f>MAX(C34:T34)</x:f>
        <x:v>0.5589906830573024</x:v>
      </x:c>
      <x:c r="V34" s="79" t="str">
        <x:f>INDEX($C$33:$T$33,1,MATCH(U34,C34:T34,0))</x:f>
        <x:v>snv</x:v>
      </x:c>
    </x:row>
    <x:row r="35">
      <x:c r="A35" s="23" t="str">
        <x:v>cnn</x:v>
      </x:c>
      <x:c r="B35" s="23" t="str">
        <x:v>hnmr</x:v>
      </x:c>
      <x:c r="C35" s="24" t="n">
        <x:f>AVERAGEIFS('Alle Resultate'!$O$2:$O$361,'Alle Resultate'!$A$2:$A$361,C$33,'Alle Resultate'!$B$2:$B$361,$B35,'Alle Resultate'!$C$2:$C$361,$A35)</x:f>
        <x:v>0.354413632111879</x:v>
      </x:c>
      <x:c r="D35" s="24" t="n">
        <x:f>AVERAGEIFS('Alle Resultate'!$O$2:$O$361,'Alle Resultate'!$A$2:$A$361,D$33,'Alle Resultate'!$B$2:$B$361,$B35,'Alle Resultate'!$C$2:$C$361,$A35)</x:f>
        <x:v>0.5560039043190682</x:v>
      </x:c>
      <x:c r="E35" s="24" t="n">
        <x:f>AVERAGEIFS('Alle Resultate'!$O$2:$O$361,'Alle Resultate'!$A$2:$A$361,E$33,'Alle Resultate'!$B$2:$B$361,$B35,'Alle Resultate'!$C$2:$C$361,$A35)</x:f>
        <x:v>0.5131391255067662</x:v>
      </x:c>
      <x:c r="F35" s="24" t="n">
        <x:f>AVERAGEIFS('Alle Resultate'!$O$2:$O$361,'Alle Resultate'!$A$2:$A$361,F$33,'Alle Resultate'!$B$2:$B$361,$B35,'Alle Resultate'!$C$2:$C$361,$A35)</x:f>
        <x:v>0.5326827896969841</x:v>
      </x:c>
      <x:c r="G35" s="24" t="n">
        <x:f>AVERAGEIFS('Alle Resultate'!$O$2:$O$361,'Alle Resultate'!$A$2:$A$361,G$33,'Alle Resultate'!$B$2:$B$361,$B35,'Alle Resultate'!$C$2:$C$361,$A35)</x:f>
        <x:v>0.41949105663942227</x:v>
      </x:c>
      <x:c r="H35" s="24" t="n">
        <x:f>AVERAGEIFS('Alle Resultate'!$O$2:$O$361,'Alle Resultate'!$A$2:$A$361,H$33,'Alle Resultate'!$B$2:$B$361,$B35,'Alle Resultate'!$C$2:$C$361,$A35)</x:f>
        <x:v>0.4266194021244047</x:v>
      </x:c>
      <x:c r="I35" s="24" t="n">
        <x:f>AVERAGEIFS('Alle Resultate'!$O$2:$O$361,'Alle Resultate'!$A$2:$A$361,I$33,'Alle Resultate'!$B$2:$B$361,$B35,'Alle Resultate'!$C$2:$C$361,$A35)</x:f>
        <x:v>0.23357808419490403</x:v>
      </x:c>
      <x:c r="J35" s="24" t="n">
        <x:f>AVERAGEIFS('Alle Resultate'!$O$2:$O$361,'Alle Resultate'!$A$2:$A$361,J$33,'Alle Resultate'!$B$2:$B$361,$B35,'Alle Resultate'!$C$2:$C$361,$A35)</x:f>
        <x:v>0.36509896148516086</x:v>
      </x:c>
      <x:c r="K35" s="24" t="n">
        <x:f>AVERAGEIFS('Alle Resultate'!$O$2:$O$361,'Alle Resultate'!$A$2:$A$361,K$33,'Alle Resultate'!$B$2:$B$361,$B35,'Alle Resultate'!$C$2:$C$361,$A35)</x:f>
        <x:v>0.32387944592544676</x:v>
      </x:c>
      <x:c r="L35" s="24" t="n">
        <x:f>AVERAGEIFS('Alle Resultate'!$O$2:$O$361,'Alle Resultate'!$A$2:$A$361,L$33,'Alle Resultate'!$B$2:$B$361,$B35,'Alle Resultate'!$C$2:$C$361,$A35)</x:f>
        <x:v>0.3135175615057675</x:v>
      </x:c>
      <x:c r="M35" s="24" t="n">
        <x:f>AVERAGEIFS('Alle Resultate'!$O$2:$O$361,'Alle Resultate'!$A$2:$A$361,M$33,'Alle Resultate'!$B$2:$B$361,$B35,'Alle Resultate'!$C$2:$C$361,$A35)</x:f>
        <x:v>0.2317518825697955</x:v>
      </x:c>
      <x:c r="N35" s="24" t="n">
        <x:f>AVERAGEIFS('Alle Resultate'!$O$2:$O$361,'Alle Resultate'!$A$2:$A$361,N$33,'Alle Resultate'!$B$2:$B$361,$B35,'Alle Resultate'!$C$2:$C$361,$A35)</x:f>
        <x:v>0.206719540707326</x:v>
      </x:c>
      <x:c r="O35" s="24" t="n">
        <x:f>AVERAGEIFS('Alle Resultate'!$O$2:$O$361,'Alle Resultate'!$A$2:$A$361,O$33,'Alle Resultate'!$B$2:$B$361,$B35,'Alle Resultate'!$C$2:$C$361,$A35)</x:f>
        <x:v>0.3248076936919912</x:v>
      </x:c>
      <x:c r="P35" s="24" t="n">
        <x:f>AVERAGEIFS('Alle Resultate'!$O$2:$O$361,'Alle Resultate'!$A$2:$A$361,P$33,'Alle Resultate'!$B$2:$B$361,$B35,'Alle Resultate'!$C$2:$C$361,$A35)</x:f>
        <x:v>0.2793595901708772</x:v>
      </x:c>
      <x:c r="Q35" s="24" t="n">
        <x:f>AVERAGEIFS('Alle Resultate'!$O$2:$O$361,'Alle Resultate'!$A$2:$A$361,Q$33,'Alle Resultate'!$B$2:$B$361,$B35,'Alle Resultate'!$C$2:$C$361,$A35)</x:f>
        <x:v>0.31546423242771177</x:v>
      </x:c>
      <x:c r="R35" s="24" t="n">
        <x:f>AVERAGEIFS('Alle Resultate'!$O$2:$O$361,'Alle Resultate'!$A$2:$A$361,R$33,'Alle Resultate'!$B$2:$B$361,$B35,'Alle Resultate'!$C$2:$C$361,$A35)</x:f>
        <x:v>0.23213385468860484</x:v>
      </x:c>
      <x:c r="S35" s="24" t="n">
        <x:f>AVERAGEIFS('Alle Resultate'!$O$2:$O$361,'Alle Resultate'!$A$2:$A$361,S$33,'Alle Resultate'!$B$2:$B$361,$B35,'Alle Resultate'!$C$2:$C$361,$A35)</x:f>
        <x:v>0.3694018589692972</x:v>
      </x:c>
      <x:c r="T35" s="24" t="n">
        <x:f>AVERAGEIFS('Alle Resultate'!$O$2:$O$361,'Alle Resultate'!$A$2:$A$361,T$33,'Alle Resultate'!$B$2:$B$361,$B35,'Alle Resultate'!$C$2:$C$361,$A35)</x:f>
        <x:v>0.3512064777864021</x:v>
      </x:c>
      <x:c r="U35" s="78" t="n">
        <x:f>MAX(C35:T35)</x:f>
        <x:v>0.5560039043190682</x:v>
      </x:c>
      <x:c r="V35" s="79" t="str">
        <x:f>INDEX($C$33:$T$33,1,MATCH(U35,C35:T35,0))</x:f>
        <x:v>snv</x:v>
      </x:c>
    </x:row>
    <x:row r="36">
      <x:c r="A36" s="23" t="str">
        <x:v>cnn</x:v>
      </x:c>
      <x:c r="B36" s="23" t="str">
        <x:v>ir</x:v>
      </x:c>
      <x:c r="C36" s="24" t="n">
        <x:f>AVERAGEIFS('Alle Resultate'!$O$2:$O$361,'Alle Resultate'!$A$2:$A$361,C$33,'Alle Resultate'!$B$2:$B$361,$B36,'Alle Resultate'!$C$2:$C$361,$A36)</x:f>
        <x:v>0.7727462652666468</x:v>
      </x:c>
      <x:c r="D36" s="24" t="n">
        <x:f>AVERAGEIFS('Alle Resultate'!$O$2:$O$361,'Alle Resultate'!$A$2:$A$361,D$33,'Alle Resultate'!$B$2:$B$361,$B36,'Alle Resultate'!$C$2:$C$361,$A36)</x:f>
        <x:v>0.7924176280657059</x:v>
      </x:c>
      <x:c r="E36" s="24" t="n">
        <x:f>AVERAGEIFS('Alle Resultate'!$O$2:$O$361,'Alle Resultate'!$A$2:$A$361,E$33,'Alle Resultate'!$B$2:$B$361,$B36,'Alle Resultate'!$C$2:$C$361,$A36)</x:f>
        <x:v>0.7740102713365902</x:v>
      </x:c>
      <x:c r="F36" s="24" t="n">
        <x:f>AVERAGEIFS('Alle Resultate'!$O$2:$O$361,'Alle Resultate'!$A$2:$A$361,F$33,'Alle Resultate'!$B$2:$B$361,$B36,'Alle Resultate'!$C$2:$C$361,$A36)</x:f>
        <x:v>0.7777534675000994</x:v>
      </x:c>
      <x:c r="G36" s="24" t="n">
        <x:f>AVERAGEIFS('Alle Resultate'!$O$2:$O$361,'Alle Resultate'!$A$2:$A$361,G$33,'Alle Resultate'!$B$2:$B$361,$B36,'Alle Resultate'!$C$2:$C$361,$A36)</x:f>
        <x:v>0.42109699626672104</x:v>
      </x:c>
      <x:c r="H36" s="24" t="n">
        <x:f>AVERAGEIFS('Alle Resultate'!$O$2:$O$361,'Alle Resultate'!$A$2:$A$361,H$33,'Alle Resultate'!$B$2:$B$361,$B36,'Alle Resultate'!$C$2:$C$361,$A36)</x:f>
        <x:v>0.7836911991634431</x:v>
      </x:c>
      <x:c r="I36" s="24" t="n">
        <x:f>AVERAGEIFS('Alle Resultate'!$O$2:$O$361,'Alle Resultate'!$A$2:$A$361,I$33,'Alle Resultate'!$B$2:$B$361,$B36,'Alle Resultate'!$C$2:$C$361,$A36)</x:f>
        <x:v>0.7718862814481757</x:v>
      </x:c>
      <x:c r="J36" s="24" t="n">
        <x:f>AVERAGEIFS('Alle Resultate'!$O$2:$O$361,'Alle Resultate'!$A$2:$A$361,J$33,'Alle Resultate'!$B$2:$B$361,$B36,'Alle Resultate'!$C$2:$C$361,$A36)</x:f>
        <x:v>0.5138984951016278</x:v>
      </x:c>
      <x:c r="K36" s="24" t="n">
        <x:f>AVERAGEIFS('Alle Resultate'!$O$2:$O$361,'Alle Resultate'!$A$2:$A$361,K$33,'Alle Resultate'!$B$2:$B$361,$B36,'Alle Resultate'!$C$2:$C$361,$A36)</x:f>
        <x:v>0.7716321054860341</x:v>
      </x:c>
      <x:c r="L36" s="24" t="n">
        <x:f>AVERAGEIFS('Alle Resultate'!$O$2:$O$361,'Alle Resultate'!$A$2:$A$361,L$33,'Alle Resultate'!$B$2:$B$361,$B36,'Alle Resultate'!$C$2:$C$361,$A36)</x:f>
        <x:v>0.7623813650459002</x:v>
      </x:c>
      <x:c r="M36" s="24" t="n">
        <x:f>AVERAGEIFS('Alle Resultate'!$O$2:$O$361,'Alle Resultate'!$A$2:$A$361,M$33,'Alle Resultate'!$B$2:$B$361,$B36,'Alle Resultate'!$C$2:$C$361,$A36)</x:f>
        <x:v>0.743657794508848</x:v>
      </x:c>
      <x:c r="N36" s="24" t="n">
        <x:f>AVERAGEIFS('Alle Resultate'!$O$2:$O$361,'Alle Resultate'!$A$2:$A$361,N$33,'Alle Resultate'!$B$2:$B$361,$B36,'Alle Resultate'!$C$2:$C$361,$A36)</x:f>
        <x:v>0.7576700215303172</x:v>
      </x:c>
      <x:c r="O36" s="24" t="n">
        <x:f>AVERAGEIFS('Alle Resultate'!$O$2:$O$361,'Alle Resultate'!$A$2:$A$361,O$33,'Alle Resultate'!$B$2:$B$361,$B36,'Alle Resultate'!$C$2:$C$361,$A36)</x:f>
        <x:v>0.7845091146172568</x:v>
      </x:c>
      <x:c r="P36" s="24" t="n">
        <x:f>AVERAGEIFS('Alle Resultate'!$O$2:$O$361,'Alle Resultate'!$A$2:$A$361,P$33,'Alle Resultate'!$B$2:$B$361,$B36,'Alle Resultate'!$C$2:$C$361,$A36)</x:f>
        <x:v>0.7763896086483074</x:v>
      </x:c>
      <x:c r="Q36" s="24" t="n">
        <x:f>AVERAGEIFS('Alle Resultate'!$O$2:$O$361,'Alle Resultate'!$A$2:$A$361,Q$33,'Alle Resultate'!$B$2:$B$361,$B36,'Alle Resultate'!$C$2:$C$361,$A36)</x:f>
        <x:v>0.6889749678982531</x:v>
      </x:c>
      <x:c r="R36" s="24" t="n">
        <x:f>AVERAGEIFS('Alle Resultate'!$O$2:$O$361,'Alle Resultate'!$A$2:$A$361,R$33,'Alle Resultate'!$B$2:$B$361,$B36,'Alle Resultate'!$C$2:$C$361,$A36)</x:f>
        <x:v>0.7825986072991703</x:v>
      </x:c>
      <x:c r="S36" s="24" t="n">
        <x:f>AVERAGEIFS('Alle Resultate'!$O$2:$O$361,'Alle Resultate'!$A$2:$A$361,S$33,'Alle Resultate'!$B$2:$B$361,$B36,'Alle Resultate'!$C$2:$C$361,$A36)</x:f>
        <x:v>0.7726343152099175</x:v>
      </x:c>
      <x:c r="T36" s="24" t="n">
        <x:f>AVERAGEIFS('Alle Resultate'!$O$2:$O$361,'Alle Resultate'!$A$2:$A$361,T$33,'Alle Resultate'!$B$2:$B$361,$B36,'Alle Resultate'!$C$2:$C$361,$A36)</x:f>
        <x:v>0.7874161268934867</x:v>
      </x:c>
      <x:c r="U36" s="78" t="n">
        <x:f>MAX(C36:T36)</x:f>
        <x:v>0.7924176280657059</x:v>
      </x:c>
      <x:c r="V36" s="79" t="str">
        <x:f>INDEX($C$33:$T$33,1,MATCH(U36,C36:T36,0))</x:f>
        <x:v>snv</x:v>
      </x:c>
    </x:row>
    <x:row r="37">
      <x:c r="A37" s="23" t="str">
        <x:v>cnn</x:v>
      </x:c>
      <x:c r="B37" s="23" t="str">
        <x:v>msms_pos</x:v>
      </x:c>
      <x:c r="C37" s="24" t="n">
        <x:f>AVERAGEIFS('Alle Resultate'!$O$2:$O$361,'Alle Resultate'!$A$2:$A$361,C$33,'Alle Resultate'!$B$2:$B$361,$B37,'Alle Resultate'!$C$2:$C$361,$A37)</x:f>
        <x:v>0.37390013664103233</x:v>
      </x:c>
      <x:c r="D37" s="24" t="n">
        <x:f>AVERAGEIFS('Alle Resultate'!$O$2:$O$361,'Alle Resultate'!$A$2:$A$361,D$33,'Alle Resultate'!$B$2:$B$361,$B37,'Alle Resultate'!$C$2:$C$361,$A37)</x:f>
        <x:v>0.37261062381502086</x:v>
      </x:c>
      <x:c r="E37" s="24" t="n">
        <x:f>AVERAGEIFS('Alle Resultate'!$O$2:$O$361,'Alle Resultate'!$A$2:$A$361,E$33,'Alle Resultate'!$B$2:$B$361,$B37,'Alle Resultate'!$C$2:$C$361,$A37)</x:f>
        <x:v>0.365426508318283</x:v>
      </x:c>
      <x:c r="F37" s="24" t="n">
        <x:f>AVERAGEIFS('Alle Resultate'!$O$2:$O$361,'Alle Resultate'!$A$2:$A$361,F$33,'Alle Resultate'!$B$2:$B$361,$B37,'Alle Resultate'!$C$2:$C$361,$A37)</x:f>
        <x:v>0.37113768719606643</x:v>
      </x:c>
      <x:c r="G37" s="24" t="n">
        <x:f>AVERAGEIFS('Alle Resultate'!$O$2:$O$361,'Alle Resultate'!$A$2:$A$361,G$33,'Alle Resultate'!$B$2:$B$361,$B37,'Alle Resultate'!$C$2:$C$361,$A37)</x:f>
        <x:v>0.3693052156354591</x:v>
      </x:c>
      <x:c r="H37" s="24" t="n">
        <x:f>AVERAGEIFS('Alle Resultate'!$O$2:$O$361,'Alle Resultate'!$A$2:$A$361,H$33,'Alle Resultate'!$B$2:$B$361,$B37,'Alle Resultate'!$C$2:$C$361,$A37)</x:f>
        <x:v>0.3691747640720549</x:v>
      </x:c>
      <x:c r="I37" s="24" t="n">
        <x:f>AVERAGEIFS('Alle Resultate'!$O$2:$O$361,'Alle Resultate'!$A$2:$A$361,I$33,'Alle Resultate'!$B$2:$B$361,$B37,'Alle Resultate'!$C$2:$C$361,$A37)</x:f>
        <x:v>0.37258490546219125</x:v>
      </x:c>
      <x:c r="J37" s="24" t="n">
        <x:f>AVERAGEIFS('Alle Resultate'!$O$2:$O$361,'Alle Resultate'!$A$2:$A$361,J$33,'Alle Resultate'!$B$2:$B$361,$B37,'Alle Resultate'!$C$2:$C$361,$A37)</x:f>
        <x:v>0.3496029439015247</x:v>
      </x:c>
      <x:c r="K37" s="24" t="n">
        <x:f>AVERAGEIFS('Alle Resultate'!$O$2:$O$361,'Alle Resultate'!$A$2:$A$361,K$33,'Alle Resultate'!$B$2:$B$361,$B37,'Alle Resultate'!$C$2:$C$361,$A37)</x:f>
        <x:v>0.3755312904152649</x:v>
      </x:c>
      <x:c r="L37" s="24" t="n">
        <x:f>AVERAGEIFS('Alle Resultate'!$O$2:$O$361,'Alle Resultate'!$A$2:$A$361,L$33,'Alle Resultate'!$B$2:$B$361,$B37,'Alle Resultate'!$C$2:$C$361,$A37)</x:f>
        <x:v>0.3757568340492972</x:v>
      </x:c>
      <x:c r="M37" s="24" t="n">
        <x:f>AVERAGEIFS('Alle Resultate'!$O$2:$O$361,'Alle Resultate'!$A$2:$A$361,M$33,'Alle Resultate'!$B$2:$B$361,$B37,'Alle Resultate'!$C$2:$C$361,$A37)</x:f>
        <x:v>0.3760545039954684</x:v>
      </x:c>
      <x:c r="N37" s="24" t="n">
        <x:f>AVERAGEIFS('Alle Resultate'!$O$2:$O$361,'Alle Resultate'!$A$2:$A$361,N$33,'Alle Resultate'!$B$2:$B$361,$B37,'Alle Resultate'!$C$2:$C$361,$A37)</x:f>
        <x:v>0.3779150151720227</x:v>
      </x:c>
      <x:c r="O37" s="24" t="n">
        <x:f>AVERAGEIFS('Alle Resultate'!$O$2:$O$361,'Alle Resultate'!$A$2:$A$361,O$33,'Alle Resultate'!$B$2:$B$361,$B37,'Alle Resultate'!$C$2:$C$361,$A37)</x:f>
        <x:v>0.375531835389653</x:v>
      </x:c>
      <x:c r="P37" s="24" t="n">
        <x:f>AVERAGEIFS('Alle Resultate'!$O$2:$O$361,'Alle Resultate'!$A$2:$A$361,P$33,'Alle Resultate'!$B$2:$B$361,$B37,'Alle Resultate'!$C$2:$C$361,$A37)</x:f>
        <x:v>0.3762959338359718</x:v>
      </x:c>
      <x:c r="Q37" s="24" t="n">
        <x:f>AVERAGEIFS('Alle Resultate'!$O$2:$O$361,'Alle Resultate'!$A$2:$A$361,Q$33,'Alle Resultate'!$B$2:$B$361,$B37,'Alle Resultate'!$C$2:$C$361,$A37)</x:f>
        <x:v>0.3767956411582485</x:v>
      </x:c>
      <x:c r="R37" s="24" t="n">
        <x:f>AVERAGEIFS('Alle Resultate'!$O$2:$O$361,'Alle Resultate'!$A$2:$A$361,R$33,'Alle Resultate'!$B$2:$B$361,$B37,'Alle Resultate'!$C$2:$C$361,$A37)</x:f>
        <x:v>0.4902962601478277</x:v>
      </x:c>
      <x:c r="S37" s="24" t="n">
        <x:f>AVERAGEIFS('Alle Resultate'!$O$2:$O$361,'Alle Resultate'!$A$2:$A$361,S$33,'Alle Resultate'!$B$2:$B$361,$B37,'Alle Resultate'!$C$2:$C$361,$A37)</x:f>
        <x:v>0.472629443904811</x:v>
      </x:c>
      <x:c r="T37" s="24" t="n">
        <x:f>AVERAGEIFS('Alle Resultate'!$O$2:$O$361,'Alle Resultate'!$A$2:$A$361,T$33,'Alle Resultate'!$B$2:$B$361,$B37,'Alle Resultate'!$C$2:$C$361,$A37)</x:f>
        <x:v>0.5160751199745611</x:v>
      </x:c>
      <x:c r="U37" s="78" t="n">
        <x:f>MAX(C37:T37)</x:f>
        <x:v>0.5160751199745611</x:v>
      </x:c>
      <x:c r="V37" s="79" t="str">
        <x:f>INDEX($C$33:$T$33,1,MATCH(U37,C37:T37,0))</x:f>
        <x:v>fir</x:v>
      </x:c>
    </x:row>
    <x:row r="38">
      <x:c r="A38" s="23" t="str">
        <x:v>cnn</x:v>
      </x:c>
      <x:c r="B38" s="23" t="str">
        <x:v>msms_neg</x:v>
      </x:c>
      <x:c r="C38" s="24" t="n">
        <x:f>AVERAGEIFS('Alle Resultate'!$O$2:$O$361,'Alle Resultate'!$A$2:$A$361,C$33,'Alle Resultate'!$B$2:$B$361,$B38,'Alle Resultate'!$C$2:$C$361,$A38)</x:f>
        <x:v>0.3808225967514962</x:v>
      </x:c>
      <x:c r="D38" s="24" t="n">
        <x:f>AVERAGEIFS('Alle Resultate'!$O$2:$O$361,'Alle Resultate'!$A$2:$A$361,D$33,'Alle Resultate'!$B$2:$B$361,$B38,'Alle Resultate'!$C$2:$C$361,$A38)</x:f>
        <x:v>0.3799308051029244</x:v>
      </x:c>
      <x:c r="E38" s="24" t="n">
        <x:f>AVERAGEIFS('Alle Resultate'!$O$2:$O$361,'Alle Resultate'!$A$2:$A$361,E$33,'Alle Resultate'!$B$2:$B$361,$B38,'Alle Resultate'!$C$2:$C$361,$A38)</x:f>
        <x:v>0.37406218880165704</x:v>
      </x:c>
      <x:c r="F38" s="24" t="n">
        <x:f>AVERAGEIFS('Alle Resultate'!$O$2:$O$361,'Alle Resultate'!$A$2:$A$361,F$33,'Alle Resultate'!$B$2:$B$361,$B38,'Alle Resultate'!$C$2:$C$361,$A38)</x:f>
        <x:v>0.3671200960010583</x:v>
      </x:c>
      <x:c r="G38" s="24" t="n">
        <x:f>AVERAGEIFS('Alle Resultate'!$O$2:$O$361,'Alle Resultate'!$A$2:$A$361,G$33,'Alle Resultate'!$B$2:$B$361,$B38,'Alle Resultate'!$C$2:$C$361,$A38)</x:f>
        <x:v>0.3826091844443495</x:v>
      </x:c>
      <x:c r="H38" s="24" t="n">
        <x:f>AVERAGEIFS('Alle Resultate'!$O$2:$O$361,'Alle Resultate'!$A$2:$A$361,H$33,'Alle Resultate'!$B$2:$B$361,$B38,'Alle Resultate'!$C$2:$C$361,$A38)</x:f>
        <x:v>0.3771801801496767</x:v>
      </x:c>
      <x:c r="I38" s="24" t="n">
        <x:f>AVERAGEIFS('Alle Resultate'!$O$2:$O$361,'Alle Resultate'!$A$2:$A$361,I$33,'Alle Resultate'!$B$2:$B$361,$B38,'Alle Resultate'!$C$2:$C$361,$A38)</x:f>
        <x:v>0.3804797662736777</x:v>
      </x:c>
      <x:c r="J38" s="24" t="n">
        <x:f>AVERAGEIFS('Alle Resultate'!$O$2:$O$361,'Alle Resultate'!$A$2:$A$361,J$33,'Alle Resultate'!$B$2:$B$361,$B38,'Alle Resultate'!$C$2:$C$361,$A38)</x:f>
        <x:v>0.36560842752560346</x:v>
      </x:c>
      <x:c r="K38" s="24" t="n">
        <x:f>AVERAGEIFS('Alle Resultate'!$O$2:$O$361,'Alle Resultate'!$A$2:$A$361,K$33,'Alle Resultate'!$B$2:$B$361,$B38,'Alle Resultate'!$C$2:$C$361,$A38)</x:f>
        <x:v>0.3818419578622245</x:v>
      </x:c>
      <x:c r="L38" s="24" t="n">
        <x:f>AVERAGEIFS('Alle Resultate'!$O$2:$O$361,'Alle Resultate'!$A$2:$A$361,L$33,'Alle Resultate'!$B$2:$B$361,$B38,'Alle Resultate'!$C$2:$C$361,$A38)</x:f>
        <x:v>0.38131594308553535</x:v>
      </x:c>
      <x:c r="M38" s="24" t="n">
        <x:f>AVERAGEIFS('Alle Resultate'!$O$2:$O$361,'Alle Resultate'!$A$2:$A$361,M$33,'Alle Resultate'!$B$2:$B$361,$B38,'Alle Resultate'!$C$2:$C$361,$A38)</x:f>
        <x:v>0.3758580480163656</x:v>
      </x:c>
      <x:c r="N38" s="24" t="n">
        <x:f>AVERAGEIFS('Alle Resultate'!$O$2:$O$361,'Alle Resultate'!$A$2:$A$361,N$33,'Alle Resultate'!$B$2:$B$361,$B38,'Alle Resultate'!$C$2:$C$361,$A38)</x:f>
        <x:v>0.3830252530209226</x:v>
      </x:c>
      <x:c r="O38" s="24" t="n">
        <x:f>AVERAGEIFS('Alle Resultate'!$O$2:$O$361,'Alle Resultate'!$A$2:$A$361,O$33,'Alle Resultate'!$B$2:$B$361,$B38,'Alle Resultate'!$C$2:$C$361,$A38)</x:f>
        <x:v>0.38250743979279134</x:v>
      </x:c>
      <x:c r="P38" s="24" t="n">
        <x:f>AVERAGEIFS('Alle Resultate'!$O$2:$O$361,'Alle Resultate'!$A$2:$A$361,P$33,'Alle Resultate'!$B$2:$B$361,$B38,'Alle Resultate'!$C$2:$C$361,$A38)</x:f>
        <x:v>0.38201052522623985</x:v>
      </x:c>
      <x:c r="Q38" s="24" t="n">
        <x:f>AVERAGEIFS('Alle Resultate'!$O$2:$O$361,'Alle Resultate'!$A$2:$A$361,Q$33,'Alle Resultate'!$B$2:$B$361,$B38,'Alle Resultate'!$C$2:$C$361,$A38)</x:f>
        <x:v>0.386435565820376</x:v>
      </x:c>
      <x:c r="R38" s="24" t="n">
        <x:f>AVERAGEIFS('Alle Resultate'!$O$2:$O$361,'Alle Resultate'!$A$2:$A$361,R$33,'Alle Resultate'!$B$2:$B$361,$B38,'Alle Resultate'!$C$2:$C$361,$A38)</x:f>
        <x:v>0.5152971430740774</x:v>
      </x:c>
      <x:c r="S38" s="24" t="n">
        <x:f>AVERAGEIFS('Alle Resultate'!$O$2:$O$361,'Alle Resultate'!$A$2:$A$361,S$33,'Alle Resultate'!$B$2:$B$361,$B38,'Alle Resultate'!$C$2:$C$361,$A38)</x:f>
        <x:v>0.5219078037003781</x:v>
      </x:c>
      <x:c r="T38" s="24" t="n">
        <x:f>AVERAGEIFS('Alle Resultate'!$O$2:$O$361,'Alle Resultate'!$A$2:$A$361,T$33,'Alle Resultate'!$B$2:$B$361,$B38,'Alle Resultate'!$C$2:$C$361,$A38)</x:f>
        <x:v>0.5511308148972855</x:v>
      </x:c>
      <x:c r="U38" s="78" t="n">
        <x:f>MAX(C38:T38)</x:f>
        <x:v>0.5511308148972855</x:v>
      </x:c>
      <x:c r="V38" s="79" t="str">
        <x:f>INDEX($C$33:$T$33,1,MATCH(U38,C38:T38,0))</x:f>
        <x:v>fir</x:v>
      </x:c>
    </x:row>
    <x:row r="39">
      <x:c r="A39" s="23" t="str">
        <x:v>xgboost</x:v>
      </x:c>
      <x:c r="B39" s="23" t="str">
        <x:v>cnmr</x:v>
      </x:c>
      <x:c r="C39" s="24" t="n">
        <x:f>AVERAGEIFS('Alle Resultate'!$O$2:$O$361,'Alle Resultate'!$A$2:$A$361,C$33,'Alle Resultate'!$B$2:$B$361,$B39,'Alle Resultate'!$C$2:$C$361,$A39)</x:f>
        <x:v>0.6010817696920343</x:v>
      </x:c>
      <x:c r="D39" s="24" t="n">
        <x:f>AVERAGEIFS('Alle Resultate'!$O$2:$O$361,'Alle Resultate'!$A$2:$A$361,D$33,'Alle Resultate'!$B$2:$B$361,$B39,'Alle Resultate'!$C$2:$C$361,$A39)</x:f>
        <x:v>0.5052549642248014</x:v>
      </x:c>
      <x:c r="E39" s="24" t="n">
        <x:f>AVERAGEIFS('Alle Resultate'!$O$2:$O$361,'Alle Resultate'!$A$2:$A$361,E$33,'Alle Resultate'!$B$2:$B$361,$B39,'Alle Resultate'!$C$2:$C$361,$A39)</x:f>
        <x:v>0.5612749496256091</x:v>
      </x:c>
      <x:c r="F39" s="24" t="n">
        <x:f>AVERAGEIFS('Alle Resultate'!$O$2:$O$361,'Alle Resultate'!$A$2:$A$361,F$33,'Alle Resultate'!$B$2:$B$361,$B39,'Alle Resultate'!$C$2:$C$361,$A39)</x:f>
        <x:v>0.5612749496256091</x:v>
      </x:c>
      <x:c r="G39" s="24" t="n">
        <x:f>AVERAGEIFS('Alle Resultate'!$O$2:$O$361,'Alle Resultate'!$A$2:$A$361,G$33,'Alle Resultate'!$B$2:$B$361,$B39,'Alle Resultate'!$C$2:$C$361,$A39)</x:f>
        <x:v>0.5625635129235435</x:v>
      </x:c>
      <x:c r="H39" s="24" t="n">
        <x:f>AVERAGEIFS('Alle Resultate'!$O$2:$O$361,'Alle Resultate'!$A$2:$A$361,H$33,'Alle Resultate'!$B$2:$B$361,$B39,'Alle Resultate'!$C$2:$C$361,$A39)</x:f>
        <x:v>0.5613342278461446</x:v>
      </x:c>
      <x:c r="I39" s="24" t="n">
        <x:f>AVERAGEIFS('Alle Resultate'!$O$2:$O$361,'Alle Resultate'!$A$2:$A$361,I$33,'Alle Resultate'!$B$2:$B$361,$B39,'Alle Resultate'!$C$2:$C$361,$A39)</x:f>
        <x:v>0.5716456986360319</x:v>
      </x:c>
      <x:c r="J39" s="24" t="n">
        <x:f>AVERAGEIFS('Alle Resultate'!$O$2:$O$361,'Alle Resultate'!$A$2:$A$361,J$33,'Alle Resultate'!$B$2:$B$361,$B39,'Alle Resultate'!$C$2:$C$361,$A39)</x:f>
        <x:v>0.5770107924858485</x:v>
      </x:c>
      <x:c r="K39" s="24" t="n">
        <x:f>AVERAGEIFS('Alle Resultate'!$O$2:$O$361,'Alle Resultate'!$A$2:$A$361,K$33,'Alle Resultate'!$B$2:$B$361,$B39,'Alle Resultate'!$C$2:$C$361,$A39)</x:f>
        <x:v>0.568668865305757</x:v>
      </x:c>
      <x:c r="L39" s="24" t="n">
        <x:f>AVERAGEIFS('Alle Resultate'!$O$2:$O$361,'Alle Resultate'!$A$2:$A$361,L$33,'Alle Resultate'!$B$2:$B$361,$B39,'Alle Resultate'!$C$2:$C$361,$A39)</x:f>
        <x:v>0.5841831270041762</x:v>
      </x:c>
      <x:c r="M39" s="24" t="n">
        <x:f>AVERAGEIFS('Alle Resultate'!$O$2:$O$361,'Alle Resultate'!$A$2:$A$361,M$33,'Alle Resultate'!$B$2:$B$361,$B39,'Alle Resultate'!$C$2:$C$361,$A39)</x:f>
        <x:v>0.5938713012296702</x:v>
      </x:c>
      <x:c r="N39" s="24" t="n">
        <x:f>AVERAGEIFS('Alle Resultate'!$O$2:$O$361,'Alle Resultate'!$A$2:$A$361,N$33,'Alle Resultate'!$B$2:$B$361,$B39,'Alle Resultate'!$C$2:$C$361,$A39)</x:f>
        <x:v>0.5665939908496604</x:v>
      </x:c>
      <x:c r="O39" s="24" t="n">
        <x:f>AVERAGEIFS('Alle Resultate'!$O$2:$O$361,'Alle Resultate'!$A$2:$A$361,O$33,'Alle Resultate'!$B$2:$B$361,$B39,'Alle Resultate'!$C$2:$C$361,$A39)</x:f>
        <x:v>0.6010817696920343</x:v>
      </x:c>
      <x:c r="P39" s="24" t="n">
        <x:f>AVERAGEIFS('Alle Resultate'!$O$2:$O$361,'Alle Resultate'!$A$2:$A$361,P$33,'Alle Resultate'!$B$2:$B$361,$B39,'Alle Resultate'!$C$2:$C$361,$A39)</x:f>
        <x:v>0.6010817696920343</x:v>
      </x:c>
      <x:c r="Q39" s="24" t="n">
        <x:f>AVERAGEIFS('Alle Resultate'!$O$2:$O$361,'Alle Resultate'!$A$2:$A$361,Q$33,'Alle Resultate'!$B$2:$B$361,$B39,'Alle Resultate'!$C$2:$C$361,$A39)</x:f>
        <x:v>0.5855042118951317</x:v>
      </x:c>
      <x:c r="R39" s="24" t="n">
        <x:f>AVERAGEIFS('Alle Resultate'!$O$2:$O$361,'Alle Resultate'!$A$2:$A$361,R$33,'Alle Resultate'!$B$2:$B$361,$B39,'Alle Resultate'!$C$2:$C$361,$A39)</x:f>
        <x:v>0.6055551580317347</x:v>
      </x:c>
      <x:c r="S39" s="24" t="n">
        <x:f>AVERAGEIFS('Alle Resultate'!$O$2:$O$361,'Alle Resultate'!$A$2:$A$361,S$33,'Alle Resultate'!$B$2:$B$361,$B39,'Alle Resultate'!$C$2:$C$361,$A39)</x:f>
        <x:v>0.6036847150323411</x:v>
      </x:c>
      <x:c r="T39" s="24" t="n">
        <x:f>AVERAGEIFS('Alle Resultate'!$O$2:$O$361,'Alle Resultate'!$A$2:$A$361,T$33,'Alle Resultate'!$B$2:$B$361,$B39,'Alle Resultate'!$C$2:$C$361,$A39)</x:f>
        <x:v>0.5813225482589561</x:v>
      </x:c>
      <x:c r="U39" s="78" t="n">
        <x:f>MAX(C39:T39)</x:f>
        <x:v>0.6055551580317347</x:v>
      </x:c>
      <x:c r="V39" s="79" t="str">
        <x:f>INDEX($C$33:$T$33,1,MATCH(U39,C39:T39,0))</x:f>
        <x:v>bin_mean</x:v>
      </x:c>
    </x:row>
    <x:row r="40">
      <x:c r="A40" s="23" t="str">
        <x:v>xgboost</x:v>
      </x:c>
      <x:c r="B40" s="23" t="str">
        <x:v>hnmr</x:v>
      </x:c>
      <x:c r="C40" s="24" t="n">
        <x:f>AVERAGEIFS('Alle Resultate'!$O$2:$O$361,'Alle Resultate'!$A$2:$A$361,C$33,'Alle Resultate'!$B$2:$B$361,$B40,'Alle Resultate'!$C$2:$C$361,$A40)</x:f>
        <x:v>0.5661466815229343</x:v>
      </x:c>
      <x:c r="D40" s="24" t="n">
        <x:f>AVERAGEIFS('Alle Resultate'!$O$2:$O$361,'Alle Resultate'!$A$2:$A$361,D$33,'Alle Resultate'!$B$2:$B$361,$B40,'Alle Resultate'!$C$2:$C$361,$A40)</x:f>
        <x:v>0.5028676546078672</x:v>
      </x:c>
      <x:c r="E40" s="24" t="n">
        <x:f>AVERAGEIFS('Alle Resultate'!$O$2:$O$361,'Alle Resultate'!$A$2:$A$361,E$33,'Alle Resultate'!$B$2:$B$361,$B40,'Alle Resultate'!$C$2:$C$361,$A40)</x:f>
        <x:v>0.5270180516422068</x:v>
      </x:c>
      <x:c r="F40" s="24" t="n">
        <x:f>AVERAGEIFS('Alle Resultate'!$O$2:$O$361,'Alle Resultate'!$A$2:$A$361,F$33,'Alle Resultate'!$B$2:$B$361,$B40,'Alle Resultate'!$C$2:$C$361,$A40)</x:f>
        <x:v>0.5270180516422068</x:v>
      </x:c>
      <x:c r="G40" s="24" t="n">
        <x:f>AVERAGEIFS('Alle Resultate'!$O$2:$O$361,'Alle Resultate'!$A$2:$A$361,G$33,'Alle Resultate'!$B$2:$B$361,$B40,'Alle Resultate'!$C$2:$C$361,$A40)</x:f>
        <x:v>0.5329008376763836</x:v>
      </x:c>
      <x:c r="H40" s="24" t="n">
        <x:f>AVERAGEIFS('Alle Resultate'!$O$2:$O$361,'Alle Resultate'!$A$2:$A$361,H$33,'Alle Resultate'!$B$2:$B$361,$B40,'Alle Resultate'!$C$2:$C$361,$A40)</x:f>
        <x:v>0.5290158289535242</x:v>
      </x:c>
      <x:c r="I40" s="24" t="n">
        <x:f>AVERAGEIFS('Alle Resultate'!$O$2:$O$361,'Alle Resultate'!$A$2:$A$361,I$33,'Alle Resultate'!$B$2:$B$361,$B40,'Alle Resultate'!$C$2:$C$361,$A40)</x:f>
        <x:v>0.5118626349598564</x:v>
      </x:c>
      <x:c r="J40" s="24" t="n">
        <x:f>AVERAGEIFS('Alle Resultate'!$O$2:$O$361,'Alle Resultate'!$A$2:$A$361,J$33,'Alle Resultate'!$B$2:$B$361,$B40,'Alle Resultate'!$C$2:$C$361,$A40)</x:f>
        <x:v>0.5339381689679462</x:v>
      </x:c>
      <x:c r="K40" s="24" t="n">
        <x:f>AVERAGEIFS('Alle Resultate'!$O$2:$O$361,'Alle Resultate'!$A$2:$A$361,K$33,'Alle Resultate'!$B$2:$B$361,$B40,'Alle Resultate'!$C$2:$C$361,$A40)</x:f>
        <x:v>0.5378508562409074</x:v>
      </x:c>
      <x:c r="L40" s="24" t="n">
        <x:f>AVERAGEIFS('Alle Resultate'!$O$2:$O$361,'Alle Resultate'!$A$2:$A$361,L$33,'Alle Resultate'!$B$2:$B$361,$B40,'Alle Resultate'!$C$2:$C$361,$A40)</x:f>
        <x:v>0.5501389413714426</x:v>
      </x:c>
      <x:c r="M40" s="24" t="n">
        <x:f>AVERAGEIFS('Alle Resultate'!$O$2:$O$361,'Alle Resultate'!$A$2:$A$361,M$33,'Alle Resultate'!$B$2:$B$361,$B40,'Alle Resultate'!$C$2:$C$361,$A40)</x:f>
        <x:v>0.5536480213305593</x:v>
      </x:c>
      <x:c r="N40" s="24" t="n">
        <x:f>AVERAGEIFS('Alle Resultate'!$O$2:$O$361,'Alle Resultate'!$A$2:$A$361,N$33,'Alle Resultate'!$B$2:$B$361,$B40,'Alle Resultate'!$C$2:$C$361,$A40)</x:f>
        <x:v>0.5360838571127062</x:v>
      </x:c>
      <x:c r="O40" s="24" t="n">
        <x:f>AVERAGEIFS('Alle Resultate'!$O$2:$O$361,'Alle Resultate'!$A$2:$A$361,O$33,'Alle Resultate'!$B$2:$B$361,$B40,'Alle Resultate'!$C$2:$C$361,$A40)</x:f>
        <x:v>0.5652405194626239</x:v>
      </x:c>
      <x:c r="P40" s="24" t="n">
        <x:f>AVERAGEIFS('Alle Resultate'!$O$2:$O$361,'Alle Resultate'!$A$2:$A$361,P$33,'Alle Resultate'!$B$2:$B$361,$B40,'Alle Resultate'!$C$2:$C$361,$A40)</x:f>
        <x:v>0.5652728454435061</x:v>
      </x:c>
      <x:c r="Q40" s="24" t="n">
        <x:f>AVERAGEIFS('Alle Resultate'!$O$2:$O$361,'Alle Resultate'!$A$2:$A$361,Q$33,'Alle Resultate'!$B$2:$B$361,$B40,'Alle Resultate'!$C$2:$C$361,$A40)</x:f>
        <x:v>0.5491730606688561</x:v>
      </x:c>
      <x:c r="R40" s="24" t="n">
        <x:f>AVERAGEIFS('Alle Resultate'!$O$2:$O$361,'Alle Resultate'!$A$2:$A$361,R$33,'Alle Resultate'!$B$2:$B$361,$B40,'Alle Resultate'!$C$2:$C$361,$A40)</x:f>
        <x:v>0.5752345897140543</x:v>
      </x:c>
      <x:c r="S40" s="24" t="n">
        <x:f>AVERAGEIFS('Alle Resultate'!$O$2:$O$361,'Alle Resultate'!$A$2:$A$361,S$33,'Alle Resultate'!$B$2:$B$361,$B40,'Alle Resultate'!$C$2:$C$361,$A40)</x:f>
        <x:v>0.5794805161497346</x:v>
      </x:c>
      <x:c r="T40" s="24" t="n">
        <x:f>AVERAGEIFS('Alle Resultate'!$O$2:$O$361,'Alle Resultate'!$A$2:$A$361,T$33,'Alle Resultate'!$B$2:$B$361,$B40,'Alle Resultate'!$C$2:$C$361,$A40)</x:f>
        <x:v>0.565538382058163</x:v>
      </x:c>
      <x:c r="U40" s="78" t="n">
        <x:f>MAX(C40:T40)</x:f>
        <x:v>0.5794805161497346</x:v>
      </x:c>
      <x:c r="V40" s="79" t="str">
        <x:f>INDEX($C$33:$T$33,1,MATCH(U40,C40:T40,0))</x:f>
        <x:v>bin_max</x:v>
      </x:c>
    </x:row>
    <x:row r="41">
      <x:c r="A41" s="23" t="str">
        <x:v>xgboost</x:v>
      </x:c>
      <x:c r="B41" s="23" t="str">
        <x:v>ir</x:v>
      </x:c>
      <x:c r="C41" s="24" t="n">
        <x:f>AVERAGEIFS('Alle Resultate'!$O$2:$O$361,'Alle Resultate'!$A$2:$A$361,C$33,'Alle Resultate'!$B$2:$B$361,$B41,'Alle Resultate'!$C$2:$C$361,$A41)</x:f>
        <x:v>0.6852546157288084</x:v>
      </x:c>
      <x:c r="D41" s="24" t="n">
        <x:f>AVERAGEIFS('Alle Resultate'!$O$2:$O$361,'Alle Resultate'!$A$2:$A$361,D$33,'Alle Resultate'!$B$2:$B$361,$B41,'Alle Resultate'!$C$2:$C$361,$A41)</x:f>
        <x:v>0.6979426981113144</x:v>
      </x:c>
      <x:c r="E41" s="24" t="n">
        <x:f>AVERAGEIFS('Alle Resultate'!$O$2:$O$361,'Alle Resultate'!$A$2:$A$361,E$33,'Alle Resultate'!$B$2:$B$361,$B41,'Alle Resultate'!$C$2:$C$361,$A41)</x:f>
        <x:v>0.6724066360553616</x:v>
      </x:c>
      <x:c r="F41" s="24" t="n">
        <x:f>AVERAGEIFS('Alle Resultate'!$O$2:$O$361,'Alle Resultate'!$A$2:$A$361,F$33,'Alle Resultate'!$B$2:$B$361,$B41,'Alle Resultate'!$C$2:$C$361,$A41)</x:f>
        <x:v>0.6869523144124606</x:v>
      </x:c>
      <x:c r="G41" s="24" t="n">
        <x:f>AVERAGEIFS('Alle Resultate'!$O$2:$O$361,'Alle Resultate'!$A$2:$A$361,G$33,'Alle Resultate'!$B$2:$B$361,$B41,'Alle Resultate'!$C$2:$C$361,$A41)</x:f>
        <x:v>0.7033325288975576</x:v>
      </x:c>
      <x:c r="H41" s="24" t="n">
        <x:f>AVERAGEIFS('Alle Resultate'!$O$2:$O$361,'Alle Resultate'!$A$2:$A$361,H$33,'Alle Resultate'!$B$2:$B$361,$B41,'Alle Resultate'!$C$2:$C$361,$A41)</x:f>
        <x:v>0.6959611946062474</x:v>
      </x:c>
      <x:c r="I41" s="24" t="n">
        <x:f>AVERAGEIFS('Alle Resultate'!$O$2:$O$361,'Alle Resultate'!$A$2:$A$361,I$33,'Alle Resultate'!$B$2:$B$361,$B41,'Alle Resultate'!$C$2:$C$361,$A41)</x:f>
        <x:v>0.6967760457636794</x:v>
      </x:c>
      <x:c r="J41" s="24" t="n">
        <x:f>AVERAGEIFS('Alle Resultate'!$O$2:$O$361,'Alle Resultate'!$A$2:$A$361,J$33,'Alle Resultate'!$B$2:$B$361,$B41,'Alle Resultate'!$C$2:$C$361,$A41)</x:f>
        <x:v>0.6938519763445194</x:v>
      </x:c>
      <x:c r="K41" s="24" t="n">
        <x:f>AVERAGEIFS('Alle Resultate'!$O$2:$O$361,'Alle Resultate'!$A$2:$A$361,K$33,'Alle Resultate'!$B$2:$B$361,$B41,'Alle Resultate'!$C$2:$C$361,$A41)</x:f>
        <x:v>0.6926972081654628</x:v>
      </x:c>
      <x:c r="L41" s="24" t="n">
        <x:f>AVERAGEIFS('Alle Resultate'!$O$2:$O$361,'Alle Resultate'!$A$2:$A$361,L$33,'Alle Resultate'!$B$2:$B$361,$B41,'Alle Resultate'!$C$2:$C$361,$A41)</x:f>
        <x:v>0.6951130601148081</x:v>
      </x:c>
      <x:c r="M41" s="24" t="n">
        <x:f>AVERAGEIFS('Alle Resultate'!$O$2:$O$361,'Alle Resultate'!$A$2:$A$361,M$33,'Alle Resultate'!$B$2:$B$361,$B41,'Alle Resultate'!$C$2:$C$361,$A41)</x:f>
        <x:v>0.6972078454872082</x:v>
      </x:c>
      <x:c r="N41" s="24" t="n">
        <x:f>AVERAGEIFS('Alle Resultate'!$O$2:$O$361,'Alle Resultate'!$A$2:$A$361,N$33,'Alle Resultate'!$B$2:$B$361,$B41,'Alle Resultate'!$C$2:$C$361,$A41)</x:f>
        <x:v>0.6739496887676979</x:v>
      </x:c>
      <x:c r="O41" s="24" t="n">
        <x:f>AVERAGEIFS('Alle Resultate'!$O$2:$O$361,'Alle Resultate'!$A$2:$A$361,O$33,'Alle Resultate'!$B$2:$B$361,$B41,'Alle Resultate'!$C$2:$C$361,$A41)</x:f>
        <x:v>0.6862145848723628</x:v>
      </x:c>
      <x:c r="P41" s="24" t="n">
        <x:f>AVERAGEIFS('Alle Resultate'!$O$2:$O$361,'Alle Resultate'!$A$2:$A$361,P$33,'Alle Resultate'!$B$2:$B$361,$B41,'Alle Resultate'!$C$2:$C$361,$A41)</x:f>
        <x:v>0.6853718089379193</x:v>
      </x:c>
      <x:c r="Q41" s="24" t="n">
        <x:f>AVERAGEIFS('Alle Resultate'!$O$2:$O$361,'Alle Resultate'!$A$2:$A$361,Q$33,'Alle Resultate'!$B$2:$B$361,$B41,'Alle Resultate'!$C$2:$C$361,$A41)</x:f>
        <x:v>0.6589025923927823</x:v>
      </x:c>
      <x:c r="R41" s="24" t="n">
        <x:f>AVERAGEIFS('Alle Resultate'!$O$2:$O$361,'Alle Resultate'!$A$2:$A$361,R$33,'Alle Resultate'!$B$2:$B$361,$B41,'Alle Resultate'!$C$2:$C$361,$A41)</x:f>
        <x:v>0.6966554899298383</x:v>
      </x:c>
      <x:c r="S41" s="24" t="n">
        <x:f>AVERAGEIFS('Alle Resultate'!$O$2:$O$361,'Alle Resultate'!$A$2:$A$361,S$33,'Alle Resultate'!$B$2:$B$361,$B41,'Alle Resultate'!$C$2:$C$361,$A41)</x:f>
        <x:v>0.685498929683386</x:v>
      </x:c>
      <x:c r="T41" s="24" t="n">
        <x:f>AVERAGEIFS('Alle Resultate'!$O$2:$O$361,'Alle Resultate'!$A$2:$A$361,T$33,'Alle Resultate'!$B$2:$B$361,$B41,'Alle Resultate'!$C$2:$C$361,$A41)</x:f>
        <x:v>0.7002473304511507</x:v>
      </x:c>
      <x:c r="U41" s="78" t="n">
        <x:f>MAX(C41:T41)</x:f>
        <x:v>0.7033325288975576</x:v>
      </x:c>
      <x:c r="V41" s="79" t="str">
        <x:f>INDEX($C$33:$T$33,1,MATCH(U41,C41:T41,0))</x:f>
        <x:v>area</x:v>
      </x:c>
    </x:row>
    <x:row r="42">
      <x:c r="A42" s="23" t="str">
        <x:v>xgboost</x:v>
      </x:c>
      <x:c r="B42" s="23" t="str">
        <x:v>msms_pos</x:v>
      </x:c>
      <x:c r="C42" s="24" t="n">
        <x:f>AVERAGEIFS('Alle Resultate'!$O$2:$O$361,'Alle Resultate'!$A$2:$A$361,C$33,'Alle Resultate'!$B$2:$B$361,$B42,'Alle Resultate'!$C$2:$C$361,$A42)</x:f>
        <x:v>0.36950241740910245</x:v>
      </x:c>
      <x:c r="D42" s="24" t="n">
        <x:f>AVERAGEIFS('Alle Resultate'!$O$2:$O$361,'Alle Resultate'!$A$2:$A$361,D$33,'Alle Resultate'!$B$2:$B$361,$B42,'Alle Resultate'!$C$2:$C$361,$A42)</x:f>
        <x:v>0.3693231057272808</x:v>
      </x:c>
      <x:c r="E42" s="24" t="n">
        <x:f>AVERAGEIFS('Alle Resultate'!$O$2:$O$361,'Alle Resultate'!$A$2:$A$361,E$33,'Alle Resultate'!$B$2:$B$361,$B42,'Alle Resultate'!$C$2:$C$361,$A42)</x:f>
        <x:v>0.36664451091919004</x:v>
      </x:c>
      <x:c r="F42" s="24" t="n">
        <x:f>AVERAGEIFS('Alle Resultate'!$O$2:$O$361,'Alle Resultate'!$A$2:$A$361,F$33,'Alle Resultate'!$B$2:$B$361,$B42,'Alle Resultate'!$C$2:$C$361,$A42)</x:f>
        <x:v>0.36664451091919004</x:v>
      </x:c>
      <x:c r="G42" s="24" t="n">
        <x:f>AVERAGEIFS('Alle Resultate'!$O$2:$O$361,'Alle Resultate'!$A$2:$A$361,G$33,'Alle Resultate'!$B$2:$B$361,$B42,'Alle Resultate'!$C$2:$C$361,$A42)</x:f>
        <x:v>0.3666161061545427</x:v>
      </x:c>
      <x:c r="H42" s="24" t="n">
        <x:f>AVERAGEIFS('Alle Resultate'!$O$2:$O$361,'Alle Resultate'!$A$2:$A$361,H$33,'Alle Resultate'!$B$2:$B$361,$B42,'Alle Resultate'!$C$2:$C$361,$A42)</x:f>
        <x:v>0.3663333935546557</x:v>
      </x:c>
      <x:c r="I42" s="24" t="n">
        <x:f>AVERAGEIFS('Alle Resultate'!$O$2:$O$361,'Alle Resultate'!$A$2:$A$361,I$33,'Alle Resultate'!$B$2:$B$361,$B42,'Alle Resultate'!$C$2:$C$361,$A42)</x:f>
        <x:v>0.36768721567704105</x:v>
      </x:c>
      <x:c r="J42" s="24" t="n">
        <x:f>AVERAGEIFS('Alle Resultate'!$O$2:$O$361,'Alle Resultate'!$A$2:$A$361,J$33,'Alle Resultate'!$B$2:$B$361,$B42,'Alle Resultate'!$C$2:$C$361,$A42)</x:f>
        <x:v>0.3666161061545427</x:v>
      </x:c>
      <x:c r="K42" s="24" t="n">
        <x:f>AVERAGEIFS('Alle Resultate'!$O$2:$O$361,'Alle Resultate'!$A$2:$A$361,K$33,'Alle Resultate'!$B$2:$B$361,$B42,'Alle Resultate'!$C$2:$C$361,$A42)</x:f>
        <x:v>0.37558342097214614</x:v>
      </x:c>
      <x:c r="L42" s="24" t="n">
        <x:f>AVERAGEIFS('Alle Resultate'!$O$2:$O$361,'Alle Resultate'!$A$2:$A$361,L$33,'Alle Resultate'!$B$2:$B$361,$B42,'Alle Resultate'!$C$2:$C$361,$A42)</x:f>
        <x:v>0.3742064735103897</x:v>
      </x:c>
      <x:c r="M42" s="24" t="n">
        <x:f>AVERAGEIFS('Alle Resultate'!$O$2:$O$361,'Alle Resultate'!$A$2:$A$361,M$33,'Alle Resultate'!$B$2:$B$361,$B42,'Alle Resultate'!$C$2:$C$361,$A42)</x:f>
        <x:v>0.37266108793448904</x:v>
      </x:c>
      <x:c r="N42" s="24" t="n">
        <x:f>AVERAGEIFS('Alle Resultate'!$O$2:$O$361,'Alle Resultate'!$A$2:$A$361,N$33,'Alle Resultate'!$B$2:$B$361,$B42,'Alle Resultate'!$C$2:$C$361,$A42)</x:f>
        <x:v>0.37357072700881516</x:v>
      </x:c>
      <x:c r="O42" s="24" t="n">
        <x:f>AVERAGEIFS('Alle Resultate'!$O$2:$O$361,'Alle Resultate'!$A$2:$A$361,O$33,'Alle Resultate'!$B$2:$B$361,$B42,'Alle Resultate'!$C$2:$C$361,$A42)</x:f>
        <x:v>0.36950241740910245</x:v>
      </x:c>
      <x:c r="P42" s="24" t="n">
        <x:f>AVERAGEIFS('Alle Resultate'!$O$2:$O$361,'Alle Resultate'!$A$2:$A$361,P$33,'Alle Resultate'!$B$2:$B$361,$B42,'Alle Resultate'!$C$2:$C$361,$A42)</x:f>
        <x:v>0.36950241740910245</x:v>
      </x:c>
      <x:c r="Q42" s="24" t="n">
        <x:f>AVERAGEIFS('Alle Resultate'!$O$2:$O$361,'Alle Resultate'!$A$2:$A$361,Q$33,'Alle Resultate'!$B$2:$B$361,$B42,'Alle Resultate'!$C$2:$C$361,$A42)</x:f>
        <x:v>0.36994222813271843</x:v>
      </x:c>
      <x:c r="R42" s="24" t="n">
        <x:f>AVERAGEIFS('Alle Resultate'!$O$2:$O$361,'Alle Resultate'!$A$2:$A$361,R$33,'Alle Resultate'!$B$2:$B$361,$B42,'Alle Resultate'!$C$2:$C$361,$A42)</x:f>
        <x:v>0.44367791924178135</x:v>
      </x:c>
      <x:c r="S42" s="24" t="n">
        <x:f>AVERAGEIFS('Alle Resultate'!$O$2:$O$361,'Alle Resultate'!$A$2:$A$361,S$33,'Alle Resultate'!$B$2:$B$361,$B42,'Alle Resultate'!$C$2:$C$361,$A42)</x:f>
        <x:v>0.44407567084401806</x:v>
      </x:c>
      <x:c r="T42" s="24" t="n">
        <x:f>AVERAGEIFS('Alle Resultate'!$O$2:$O$361,'Alle Resultate'!$A$2:$A$361,T$33,'Alle Resultate'!$B$2:$B$361,$B42,'Alle Resultate'!$C$2:$C$361,$A42)</x:f>
        <x:v>0.4525736037659557</x:v>
      </x:c>
      <x:c r="U42" s="78" t="n">
        <x:f>MAX(C42:T42)</x:f>
        <x:v>0.4525736037659557</x:v>
      </x:c>
      <x:c r="V42" s="79" t="str">
        <x:f>INDEX($C$33:$T$33,1,MATCH(U42,C42:T42,0))</x:f>
        <x:v>fir</x:v>
      </x:c>
    </x:row>
    <x:row r="43">
      <x:c r="A43" s="23" t="str">
        <x:v>xgboost</x:v>
      </x:c>
      <x:c r="B43" s="23" t="str">
        <x:v>msms_neg</x:v>
      </x:c>
      <x:c r="C43" s="24" t="n">
        <x:f>AVERAGEIFS('Alle Resultate'!$O$2:$O$361,'Alle Resultate'!$A$2:$A$361,C$33,'Alle Resultate'!$B$2:$B$361,$B43,'Alle Resultate'!$C$2:$C$361,$A43)</x:f>
        <x:v>0.3688058974083823</x:v>
      </x:c>
      <x:c r="D43" s="24" t="n">
        <x:f>AVERAGEIFS('Alle Resultate'!$O$2:$O$361,'Alle Resultate'!$A$2:$A$361,D$33,'Alle Resultate'!$B$2:$B$361,$B43,'Alle Resultate'!$C$2:$C$361,$A43)</x:f>
        <x:v>0.3743000872658611</x:v>
      </x:c>
      <x:c r="E43" s="24" t="n">
        <x:f>AVERAGEIFS('Alle Resultate'!$O$2:$O$361,'Alle Resultate'!$A$2:$A$361,E$33,'Alle Resultate'!$B$2:$B$361,$B43,'Alle Resultate'!$C$2:$C$361,$A43)</x:f>
        <x:v>0.3652722724794463</x:v>
      </x:c>
      <x:c r="F43" s="24" t="n">
        <x:f>AVERAGEIFS('Alle Resultate'!$O$2:$O$361,'Alle Resultate'!$A$2:$A$361,F$33,'Alle Resultate'!$B$2:$B$361,$B43,'Alle Resultate'!$C$2:$C$361,$A43)</x:f>
        <x:v>0.3652722724794463</x:v>
      </x:c>
      <x:c r="G43" s="24" t="n">
        <x:f>AVERAGEIFS('Alle Resultate'!$O$2:$O$361,'Alle Resultate'!$A$2:$A$361,G$33,'Alle Resultate'!$B$2:$B$361,$B43,'Alle Resultate'!$C$2:$C$361,$A43)</x:f>
        <x:v>0.365756115332391</x:v>
      </x:c>
      <x:c r="H43" s="24" t="n">
        <x:f>AVERAGEIFS('Alle Resultate'!$O$2:$O$361,'Alle Resultate'!$A$2:$A$361,H$33,'Alle Resultate'!$B$2:$B$361,$B43,'Alle Resultate'!$C$2:$C$361,$A43)</x:f>
        <x:v>0.3658072498129978</x:v>
      </x:c>
      <x:c r="I43" s="24" t="n">
        <x:f>AVERAGEIFS('Alle Resultate'!$O$2:$O$361,'Alle Resultate'!$A$2:$A$361,I$33,'Alle Resultate'!$B$2:$B$361,$B43,'Alle Resultate'!$C$2:$C$361,$A43)</x:f>
        <x:v>0.3656620053309716</x:v>
      </x:c>
      <x:c r="J43" s="24" t="n">
        <x:f>AVERAGEIFS('Alle Resultate'!$O$2:$O$361,'Alle Resultate'!$A$2:$A$361,J$33,'Alle Resultate'!$B$2:$B$361,$B43,'Alle Resultate'!$C$2:$C$361,$A43)</x:f>
        <x:v>0.3657527462439043</x:v>
      </x:c>
      <x:c r="K43" s="24" t="n">
        <x:f>AVERAGEIFS('Alle Resultate'!$O$2:$O$361,'Alle Resultate'!$A$2:$A$361,K$33,'Alle Resultate'!$B$2:$B$361,$B43,'Alle Resultate'!$C$2:$C$361,$A43)</x:f>
        <x:v>0.3828836928029628</x:v>
      </x:c>
      <x:c r="L43" s="24" t="n">
        <x:f>AVERAGEIFS('Alle Resultate'!$O$2:$O$361,'Alle Resultate'!$A$2:$A$361,L$33,'Alle Resultate'!$B$2:$B$361,$B43,'Alle Resultate'!$C$2:$C$361,$A43)</x:f>
        <x:v>0.38123332659388964</x:v>
      </x:c>
      <x:c r="M43" s="24" t="n">
        <x:f>AVERAGEIFS('Alle Resultate'!$O$2:$O$361,'Alle Resultate'!$A$2:$A$361,M$33,'Alle Resultate'!$B$2:$B$361,$B43,'Alle Resultate'!$C$2:$C$361,$A43)</x:f>
        <x:v>0.3717379729914038</x:v>
      </x:c>
      <x:c r="N43" s="24" t="n">
        <x:f>AVERAGEIFS('Alle Resultate'!$O$2:$O$361,'Alle Resultate'!$A$2:$A$361,N$33,'Alle Resultate'!$B$2:$B$361,$B43,'Alle Resultate'!$C$2:$C$361,$A43)</x:f>
        <x:v>0.3802974824306097</x:v>
      </x:c>
      <x:c r="O43" s="24" t="n">
        <x:f>AVERAGEIFS('Alle Resultate'!$O$2:$O$361,'Alle Resultate'!$A$2:$A$361,O$33,'Alle Resultate'!$B$2:$B$361,$B43,'Alle Resultate'!$C$2:$C$361,$A43)</x:f>
        <x:v>0.368803230200092</x:v>
      </x:c>
      <x:c r="P43" s="24" t="n">
        <x:f>AVERAGEIFS('Alle Resultate'!$O$2:$O$361,'Alle Resultate'!$A$2:$A$361,P$33,'Alle Resultate'!$B$2:$B$361,$B43,'Alle Resultate'!$C$2:$C$361,$A43)</x:f>
        <x:v>0.3688058974083823</x:v>
      </x:c>
      <x:c r="Q43" s="24" t="n">
        <x:f>AVERAGEIFS('Alle Resultate'!$O$2:$O$361,'Alle Resultate'!$A$2:$A$361,Q$33,'Alle Resultate'!$B$2:$B$361,$B43,'Alle Resultate'!$C$2:$C$361,$A43)</x:f>
        <x:v>0.3687930338867893</x:v>
      </x:c>
      <x:c r="R43" s="24" t="n">
        <x:f>AVERAGEIFS('Alle Resultate'!$O$2:$O$361,'Alle Resultate'!$A$2:$A$361,R$33,'Alle Resultate'!$B$2:$B$361,$B43,'Alle Resultate'!$C$2:$C$361,$A43)</x:f>
        <x:v>0.4988682403543887</x:v>
      </x:c>
      <x:c r="S43" s="24" t="n">
        <x:f>AVERAGEIFS('Alle Resultate'!$O$2:$O$361,'Alle Resultate'!$A$2:$A$361,S$33,'Alle Resultate'!$B$2:$B$361,$B43,'Alle Resultate'!$C$2:$C$361,$A43)</x:f>
        <x:v>0.49872234010821404</x:v>
      </x:c>
      <x:c r="T43" s="24" t="n">
        <x:f>AVERAGEIFS('Alle Resultate'!$O$2:$O$361,'Alle Resultate'!$A$2:$A$361,T$33,'Alle Resultate'!$B$2:$B$361,$B43,'Alle Resultate'!$C$2:$C$361,$A43)</x:f>
        <x:v>0.5185994213166629</x:v>
      </x:c>
      <x:c r="U43" s="78" t="n">
        <x:f>MAX(C43:T43)</x:f>
        <x:v>0.5185994213166629</x:v>
      </x:c>
      <x:c r="V43" s="79" t="str">
        <x:f>INDEX($C$33:$T$33,1,MATCH(U43,C43:T43,0))</x:f>
        <x:v>fir</x:v>
      </x:c>
    </x:row>
    <x:row r="44">
      <x:c r="A44" s="23" t="str">
        <x:v>mps</x:v>
      </x:c>
      <x:c r="B44" s="23" t="str">
        <x:v>cnmr</x:v>
      </x:c>
      <x:c r="C44" s="24" t="n">
        <x:f>AVERAGEIFS('Alle Resultate'!$O$2:$O$361,'Alle Resultate'!$A$2:$A$361,C$33,'Alle Resultate'!$B$2:$B$361,$B44,'Alle Resultate'!$C$2:$C$361,$A44)</x:f>
        <x:v>0.4892299996426308</x:v>
      </x:c>
      <x:c r="D44" s="24" t="n">
        <x:f>AVERAGEIFS('Alle Resultate'!$O$2:$O$361,'Alle Resultate'!$A$2:$A$361,D$33,'Alle Resultate'!$B$2:$B$361,$B44,'Alle Resultate'!$C$2:$C$361,$A44)</x:f>
        <x:v>0.5414845429292694</x:v>
      </x:c>
      <x:c r="E44" s="24" t="n">
        <x:f>AVERAGEIFS('Alle Resultate'!$O$2:$O$361,'Alle Resultate'!$A$2:$A$361,E$33,'Alle Resultate'!$B$2:$B$361,$B44,'Alle Resultate'!$C$2:$C$361,$A44)</x:f>
        <x:v>0.5090551211722271</x:v>
      </x:c>
      <x:c r="F44" s="24" t="n">
        <x:f>AVERAGEIFS('Alle Resultate'!$O$2:$O$361,'Alle Resultate'!$A$2:$A$361,F$33,'Alle Resultate'!$B$2:$B$361,$B44,'Alle Resultate'!$C$2:$C$361,$A44)</x:f>
        <x:v>0.5090551211722271</x:v>
      </x:c>
      <x:c r="G44" s="24" t="n">
        <x:f>AVERAGEIFS('Alle Resultate'!$O$2:$O$361,'Alle Resultate'!$A$2:$A$361,G$33,'Alle Resultate'!$B$2:$B$361,$B44,'Alle Resultate'!$C$2:$C$361,$A44)</x:f>
        <x:v>0.49954486549217214</x:v>
      </x:c>
      <x:c r="H44" s="24" t="n">
        <x:f>AVERAGEIFS('Alle Resultate'!$O$2:$O$361,'Alle Resultate'!$A$2:$A$361,H$33,'Alle Resultate'!$B$2:$B$361,$B44,'Alle Resultate'!$C$2:$C$361,$A44)</x:f>
        <x:v>0.5113634315858221</x:v>
      </x:c>
      <x:c r="I44" s="24" t="n">
        <x:f>AVERAGEIFS('Alle Resultate'!$O$2:$O$361,'Alle Resultate'!$A$2:$A$361,I$33,'Alle Resultate'!$B$2:$B$361,$B44,'Alle Resultate'!$C$2:$C$361,$A44)</x:f>
        <x:v>0.4761870293337533</x:v>
      </x:c>
      <x:c r="J44" s="24" t="n">
        <x:f>AVERAGEIFS('Alle Resultate'!$O$2:$O$361,'Alle Resultate'!$A$2:$A$361,J$33,'Alle Resultate'!$B$2:$B$361,$B44,'Alle Resultate'!$C$2:$C$361,$A44)</x:f>
        <x:v>0.5000759686651945</x:v>
      </x:c>
      <x:c r="K44" s="24" t="n">
        <x:f>AVERAGEIFS('Alle Resultate'!$O$2:$O$361,'Alle Resultate'!$A$2:$A$361,K$33,'Alle Resultate'!$B$2:$B$361,$B44,'Alle Resultate'!$C$2:$C$361,$A44)</x:f>
        <x:v>0.4385342661449758</x:v>
      </x:c>
      <x:c r="L44" s="24" t="n">
        <x:f>AVERAGEIFS('Alle Resultate'!$O$2:$O$361,'Alle Resultate'!$A$2:$A$361,L$33,'Alle Resultate'!$B$2:$B$361,$B44,'Alle Resultate'!$C$2:$C$361,$A44)</x:f>
        <x:v>0.4513452695474241</x:v>
      </x:c>
      <x:c r="M44" s="24" t="n">
        <x:f>AVERAGEIFS('Alle Resultate'!$O$2:$O$361,'Alle Resultate'!$A$2:$A$361,M$33,'Alle Resultate'!$B$2:$B$361,$B44,'Alle Resultate'!$C$2:$C$361,$A44)</x:f>
        <x:v>0.4540286788386235</x:v>
      </x:c>
      <x:c r="N44" s="24" t="n">
        <x:f>AVERAGEIFS('Alle Resultate'!$O$2:$O$361,'Alle Resultate'!$A$2:$A$361,N$33,'Alle Resultate'!$B$2:$B$361,$B44,'Alle Resultate'!$C$2:$C$361,$A44)</x:f>
        <x:v>0.43228093627549397</x:v>
      </x:c>
      <x:c r="O44" s="24" t="n">
        <x:f>AVERAGEIFS('Alle Resultate'!$O$2:$O$361,'Alle Resultate'!$A$2:$A$361,O$33,'Alle Resultate'!$B$2:$B$361,$B44,'Alle Resultate'!$C$2:$C$361,$A44)</x:f>
        <x:v>0.5500882286403177</x:v>
      </x:c>
      <x:c r="P44" s="24" t="n">
        <x:f>AVERAGEIFS('Alle Resultate'!$O$2:$O$361,'Alle Resultate'!$A$2:$A$361,P$33,'Alle Resultate'!$B$2:$B$361,$B44,'Alle Resultate'!$C$2:$C$361,$A44)</x:f>
        <x:v>0.4872589585604794</x:v>
      </x:c>
      <x:c r="Q44" s="24" t="n">
        <x:f>AVERAGEIFS('Alle Resultate'!$O$2:$O$361,'Alle Resultate'!$A$2:$A$361,Q$33,'Alle Resultate'!$B$2:$B$361,$B44,'Alle Resultate'!$C$2:$C$361,$A44)</x:f>
        <x:v>0.2568648810820735</x:v>
      </x:c>
      <x:c r="R44" s="24" t="n">
        <x:f>AVERAGEIFS('Alle Resultate'!$O$2:$O$361,'Alle Resultate'!$A$2:$A$361,R$33,'Alle Resultate'!$B$2:$B$361,$B44,'Alle Resultate'!$C$2:$C$361,$A44)</x:f>
        <x:v>0.5546892042356873</x:v>
      </x:c>
      <x:c r="S44" s="24" t="n">
        <x:f>AVERAGEIFS('Alle Resultate'!$O$2:$O$361,'Alle Resultate'!$A$2:$A$361,S$33,'Alle Resultate'!$B$2:$B$361,$B44,'Alle Resultate'!$C$2:$C$361,$A44)</x:f>
        <x:v>0.5558083830652403</x:v>
      </x:c>
      <x:c r="T44" s="24" t="n">
        <x:f>AVERAGEIFS('Alle Resultate'!$O$2:$O$361,'Alle Resultate'!$A$2:$A$361,T$33,'Alle Resultate'!$B$2:$B$361,$B44,'Alle Resultate'!$C$2:$C$361,$A44)</x:f>
        <x:v>0.5556749330726022</x:v>
      </x:c>
      <x:c r="U44" s="78" t="n">
        <x:f>MAX(C44:T44)</x:f>
        <x:v>0.5558083830652403</x:v>
      </x:c>
      <x:c r="V44" s="79" t="str">
        <x:f>INDEX($C$33:$T$33,1,MATCH(U44,C44:T44,0))</x:f>
        <x:v>bin_max</x:v>
      </x:c>
    </x:row>
    <x:row r="45">
      <x:c r="A45" s="23" t="str">
        <x:v>mps</x:v>
      </x:c>
      <x:c r="B45" s="23" t="str">
        <x:v>hnmr</x:v>
      </x:c>
      <x:c r="C45" s="24" t="n">
        <x:f>AVERAGEIFS('Alle Resultate'!$O$2:$O$361,'Alle Resultate'!$A$2:$A$361,C$33,'Alle Resultate'!$B$2:$B$361,$B45,'Alle Resultate'!$C$2:$C$361,$A45)</x:f>
        <x:v>0.532829028937778</x:v>
      </x:c>
      <x:c r="D45" s="24" t="n">
        <x:f>AVERAGEIFS('Alle Resultate'!$O$2:$O$361,'Alle Resultate'!$A$2:$A$361,D$33,'Alle Resultate'!$B$2:$B$361,$B45,'Alle Resultate'!$C$2:$C$361,$A45)</x:f>
        <x:v>0.5460316141759913</x:v>
      </x:c>
      <x:c r="E45" s="24" t="n">
        <x:f>AVERAGEIFS('Alle Resultate'!$O$2:$O$361,'Alle Resultate'!$A$2:$A$361,E$33,'Alle Resultate'!$B$2:$B$361,$B45,'Alle Resultate'!$C$2:$C$361,$A45)</x:f>
        <x:v>0.5331134594761784</x:v>
      </x:c>
      <x:c r="F45" s="24" t="n">
        <x:f>AVERAGEIFS('Alle Resultate'!$O$2:$O$361,'Alle Resultate'!$A$2:$A$361,F$33,'Alle Resultate'!$B$2:$B$361,$B45,'Alle Resultate'!$C$2:$C$361,$A45)</x:f>
        <x:v>0.5331134594761784</x:v>
      </x:c>
      <x:c r="G45" s="24" t="n">
        <x:f>AVERAGEIFS('Alle Resultate'!$O$2:$O$361,'Alle Resultate'!$A$2:$A$361,G$33,'Alle Resultate'!$B$2:$B$361,$B45,'Alle Resultate'!$C$2:$C$361,$A45)</x:f>
        <x:v>0.5315272160514941</x:v>
      </x:c>
      <x:c r="H45" s="24" t="n">
        <x:f>AVERAGEIFS('Alle Resultate'!$O$2:$O$361,'Alle Resultate'!$A$2:$A$361,H$33,'Alle Resultate'!$B$2:$B$361,$B45,'Alle Resultate'!$C$2:$C$361,$A45)</x:f>
        <x:v>0.5321489235516164</x:v>
      </x:c>
      <x:c r="I45" s="24" t="n">
        <x:f>AVERAGEIFS('Alle Resultate'!$O$2:$O$361,'Alle Resultate'!$A$2:$A$361,I$33,'Alle Resultate'!$B$2:$B$361,$B45,'Alle Resultate'!$C$2:$C$361,$A45)</x:f>
        <x:v>0.5224709657119813</x:v>
      </x:c>
      <x:c r="J45" s="24" t="n">
        <x:f>AVERAGEIFS('Alle Resultate'!$O$2:$O$361,'Alle Resultate'!$A$2:$A$361,J$33,'Alle Resultate'!$B$2:$B$361,$B45,'Alle Resultate'!$C$2:$C$361,$A45)</x:f>
        <x:v>0.5300065243761912</x:v>
      </x:c>
      <x:c r="K45" s="24" t="n">
        <x:f>AVERAGEIFS('Alle Resultate'!$O$2:$O$361,'Alle Resultate'!$A$2:$A$361,K$33,'Alle Resultate'!$B$2:$B$361,$B45,'Alle Resultate'!$C$2:$C$361,$A45)</x:f>
        <x:v>0.4806312533916885</x:v>
      </x:c>
      <x:c r="L45" s="24" t="n">
        <x:f>AVERAGEIFS('Alle Resultate'!$O$2:$O$361,'Alle Resultate'!$A$2:$A$361,L$33,'Alle Resultate'!$B$2:$B$361,$B45,'Alle Resultate'!$C$2:$C$361,$A45)</x:f>
        <x:v>0.48543946021531215</x:v>
      </x:c>
      <x:c r="M45" s="24" t="n">
        <x:f>AVERAGEIFS('Alle Resultate'!$O$2:$O$361,'Alle Resultate'!$A$2:$A$361,M$33,'Alle Resultate'!$B$2:$B$361,$B45,'Alle Resultate'!$C$2:$C$361,$A45)</x:f>
        <x:v>0.502148394314895</x:v>
      </x:c>
      <x:c r="N45" s="24" t="n">
        <x:f>AVERAGEIFS('Alle Resultate'!$O$2:$O$361,'Alle Resultate'!$A$2:$A$361,N$33,'Alle Resultate'!$B$2:$B$361,$B45,'Alle Resultate'!$C$2:$C$361,$A45)</x:f>
        <x:v>0.4507840703104802</x:v>
      </x:c>
      <x:c r="O45" s="24" t="n">
        <x:f>AVERAGEIFS('Alle Resultate'!$O$2:$O$361,'Alle Resultate'!$A$2:$A$361,O$33,'Alle Resultate'!$B$2:$B$361,$B45,'Alle Resultate'!$C$2:$C$361,$A45)</x:f>
        <x:v>0.5727573036124117</x:v>
      </x:c>
      <x:c r="P45" s="24" t="n">
        <x:f>AVERAGEIFS('Alle Resultate'!$O$2:$O$361,'Alle Resultate'!$A$2:$A$361,P$33,'Alle Resultate'!$B$2:$B$361,$B45,'Alle Resultate'!$C$2:$C$361,$A45)</x:f>
        <x:v>0.5324142623884757</x:v>
      </x:c>
      <x:c r="Q45" s="24" t="n">
        <x:f>AVERAGEIFS('Alle Resultate'!$O$2:$O$361,'Alle Resultate'!$A$2:$A$361,Q$33,'Alle Resultate'!$B$2:$B$361,$B45,'Alle Resultate'!$C$2:$C$361,$A45)</x:f>
        <x:v>0.4909686077480373</x:v>
      </x:c>
      <x:c r="R45" s="24" t="n">
        <x:f>AVERAGEIFS('Alle Resultate'!$O$2:$O$361,'Alle Resultate'!$A$2:$A$361,R$33,'Alle Resultate'!$B$2:$B$361,$B45,'Alle Resultate'!$C$2:$C$361,$A45)</x:f>
        <x:v>0.5813561949841791</x:v>
      </x:c>
      <x:c r="S45" s="24" t="n">
        <x:f>AVERAGEIFS('Alle Resultate'!$O$2:$O$361,'Alle Resultate'!$A$2:$A$361,S$33,'Alle Resultate'!$B$2:$B$361,$B45,'Alle Resultate'!$C$2:$C$361,$A45)</x:f>
        <x:v>0.5760233826488683</x:v>
      </x:c>
      <x:c r="T45" s="24" t="n">
        <x:f>AVERAGEIFS('Alle Resultate'!$O$2:$O$361,'Alle Resultate'!$A$2:$A$361,T$33,'Alle Resultate'!$B$2:$B$361,$B45,'Alle Resultate'!$C$2:$C$361,$A45)</x:f>
        <x:v>0.5851452888349249</x:v>
      </x:c>
      <x:c r="U45" s="78" t="n">
        <x:f>MAX(C45:T45)</x:f>
        <x:v>0.5851452888349249</x:v>
      </x:c>
      <x:c r="V45" s="79" t="str">
        <x:f>INDEX($C$33:$T$33,1,MATCH(U45,C45:T45,0))</x:f>
        <x:v>fir</x:v>
      </x:c>
    </x:row>
    <x:row r="46">
      <x:c r="A46" s="23" t="str">
        <x:v>mps</x:v>
      </x:c>
      <x:c r="B46" s="23" t="str">
        <x:v>ir</x:v>
      </x:c>
      <x:c r="C46" s="24" t="n">
        <x:f>AVERAGEIFS('Alle Resultate'!$O$2:$O$361,'Alle Resultate'!$A$2:$A$361,C$33,'Alle Resultate'!$B$2:$B$361,$B46,'Alle Resultate'!$C$2:$C$361,$A46)</x:f>
        <x:v>0.7559767499346464</x:v>
      </x:c>
      <x:c r="D46" s="24" t="n">
        <x:f>AVERAGEIFS('Alle Resultate'!$O$2:$O$361,'Alle Resultate'!$A$2:$A$361,D$33,'Alle Resultate'!$B$2:$B$361,$B46,'Alle Resultate'!$C$2:$C$361,$A46)</x:f>
        <x:v>0.7511854521865354</x:v>
      </x:c>
      <x:c r="E46" s="24" t="n">
        <x:f>AVERAGEIFS('Alle Resultate'!$O$2:$O$361,'Alle Resultate'!$A$2:$A$361,E$33,'Alle Resultate'!$B$2:$B$361,$B46,'Alle Resultate'!$C$2:$C$361,$A46)</x:f>
        <x:v>0.7565168862052489</x:v>
      </x:c>
      <x:c r="F46" s="24" t="n">
        <x:f>AVERAGEIFS('Alle Resultate'!$O$2:$O$361,'Alle Resultate'!$A$2:$A$361,F$33,'Alle Resultate'!$B$2:$B$361,$B46,'Alle Resultate'!$C$2:$C$361,$A46)</x:f>
        <x:v>0.7594498467785906</x:v>
      </x:c>
      <x:c r="G46" s="24" t="n">
        <x:f>AVERAGEIFS('Alle Resultate'!$O$2:$O$361,'Alle Resultate'!$A$2:$A$361,G$33,'Alle Resultate'!$B$2:$B$361,$B46,'Alle Resultate'!$C$2:$C$361,$A46)</x:f>
        <x:v>0.7592671950098493</x:v>
      </x:c>
      <x:c r="H46" s="24" t="n">
        <x:f>AVERAGEIFS('Alle Resultate'!$O$2:$O$361,'Alle Resultate'!$A$2:$A$361,H$33,'Alle Resultate'!$B$2:$B$361,$B46,'Alle Resultate'!$C$2:$C$361,$A46)</x:f>
        <x:v>0.7605208513752182</x:v>
      </x:c>
      <x:c r="I46" s="24" t="n">
        <x:f>AVERAGEIFS('Alle Resultate'!$O$2:$O$361,'Alle Resultate'!$A$2:$A$361,I$33,'Alle Resultate'!$B$2:$B$361,$B46,'Alle Resultate'!$C$2:$C$361,$A46)</x:f>
        <x:v>0.7536107115017052</x:v>
      </x:c>
      <x:c r="J46" s="24" t="n">
        <x:f>AVERAGEIFS('Alle Resultate'!$O$2:$O$361,'Alle Resultate'!$A$2:$A$361,J$33,'Alle Resultate'!$B$2:$B$361,$B46,'Alle Resultate'!$C$2:$C$361,$A46)</x:f>
        <x:v>0.746139604473491</x:v>
      </x:c>
      <x:c r="K46" s="24" t="n">
        <x:f>AVERAGEIFS('Alle Resultate'!$O$2:$O$361,'Alle Resultate'!$A$2:$A$361,K$33,'Alle Resultate'!$B$2:$B$361,$B46,'Alle Resultate'!$C$2:$C$361,$A46)</x:f>
        <x:v>0.7557222517647977</x:v>
      </x:c>
      <x:c r="L46" s="24" t="n">
        <x:f>AVERAGEIFS('Alle Resultate'!$O$2:$O$361,'Alle Resultate'!$A$2:$A$361,L$33,'Alle Resultate'!$B$2:$B$361,$B46,'Alle Resultate'!$C$2:$C$361,$A46)</x:f>
        <x:v>0.7650641166281905</x:v>
      </x:c>
      <x:c r="M46" s="24" t="n">
        <x:f>AVERAGEIFS('Alle Resultate'!$O$2:$O$361,'Alle Resultate'!$A$2:$A$361,M$33,'Alle Resultate'!$B$2:$B$361,$B46,'Alle Resultate'!$C$2:$C$361,$A46)</x:f>
        <x:v>0.7692413204600537</x:v>
      </x:c>
      <x:c r="N46" s="24" t="n">
        <x:f>AVERAGEIFS('Alle Resultate'!$O$2:$O$361,'Alle Resultate'!$A$2:$A$361,N$33,'Alle Resultate'!$B$2:$B$361,$B46,'Alle Resultate'!$C$2:$C$361,$A46)</x:f>
        <x:v>0.7501624841177377</x:v>
      </x:c>
      <x:c r="O46" s="24" t="n">
        <x:f>AVERAGEIFS('Alle Resultate'!$O$2:$O$361,'Alle Resultate'!$A$2:$A$361,O$33,'Alle Resultate'!$B$2:$B$361,$B46,'Alle Resultate'!$C$2:$C$361,$A46)</x:f>
        <x:v>0.7646452845032687</x:v>
      </x:c>
      <x:c r="P46" s="24" t="n">
        <x:f>AVERAGEIFS('Alle Resultate'!$O$2:$O$361,'Alle Resultate'!$A$2:$A$361,P$33,'Alle Resultate'!$B$2:$B$361,$B46,'Alle Resultate'!$C$2:$C$361,$A46)</x:f>
        <x:v>0.7655873744254621</x:v>
      </x:c>
      <x:c r="Q46" s="24" t="n">
        <x:f>AVERAGEIFS('Alle Resultate'!$O$2:$O$361,'Alle Resultate'!$A$2:$A$361,Q$33,'Alle Resultate'!$B$2:$B$361,$B46,'Alle Resultate'!$C$2:$C$361,$A46)</x:f>
        <x:v>0.7080309900188452</x:v>
      </x:c>
      <x:c r="R46" s="24" t="n">
        <x:f>AVERAGEIFS('Alle Resultate'!$O$2:$O$361,'Alle Resultate'!$A$2:$A$361,R$33,'Alle Resultate'!$B$2:$B$361,$B46,'Alle Resultate'!$C$2:$C$361,$A46)</x:f>
        <x:v>0.7741595395624572</x:v>
      </x:c>
      <x:c r="S46" s="24" t="n">
        <x:f>AVERAGEIFS('Alle Resultate'!$O$2:$O$361,'Alle Resultate'!$A$2:$A$361,S$33,'Alle Resultate'!$B$2:$B$361,$B46,'Alle Resultate'!$C$2:$C$361,$A46)</x:f>
        <x:v>0.7594356801394684</x:v>
      </x:c>
      <x:c r="T46" s="24" t="n">
        <x:f>AVERAGEIFS('Alle Resultate'!$O$2:$O$361,'Alle Resultate'!$A$2:$A$361,T$33,'Alle Resultate'!$B$2:$B$361,$B46,'Alle Resultate'!$C$2:$C$361,$A46)</x:f>
        <x:v>0.7923724017521713</x:v>
      </x:c>
      <x:c r="U46" s="78" t="n">
        <x:f>MAX(C46:T46)</x:f>
        <x:v>0.7923724017521713</x:v>
      </x:c>
      <x:c r="V46" s="79" t="str">
        <x:f>INDEX($C$33:$T$33,1,MATCH(U46,C46:T46,0))</x:f>
        <x:v>fir</x:v>
      </x:c>
    </x:row>
    <x:row r="47">
      <x:c r="A47" s="23" t="str">
        <x:v>mps</x:v>
      </x:c>
      <x:c r="B47" s="23" t="str">
        <x:v>msms_pos</x:v>
      </x:c>
      <x:c r="C47" s="24" t="n">
        <x:f>AVERAGEIFS('Alle Resultate'!$O$2:$O$361,'Alle Resultate'!$A$2:$A$361,C$33,'Alle Resultate'!$B$2:$B$361,$B47,'Alle Resultate'!$C$2:$C$361,$A47)</x:f>
        <x:v>0.22881846337982642</x:v>
      </x:c>
      <x:c r="D47" s="24" t="n">
        <x:f>AVERAGEIFS('Alle Resultate'!$O$2:$O$361,'Alle Resultate'!$A$2:$A$361,D$33,'Alle Resultate'!$B$2:$B$361,$B47,'Alle Resultate'!$C$2:$C$361,$A47)</x:f>
        <x:v>0.23722031273606195</x:v>
      </x:c>
      <x:c r="E47" s="24" t="n">
        <x:f>AVERAGEIFS('Alle Resultate'!$O$2:$O$361,'Alle Resultate'!$A$2:$A$361,E$33,'Alle Resultate'!$B$2:$B$361,$B47,'Alle Resultate'!$C$2:$C$361,$A47)</x:f>
        <x:v>0.23296442313076304</x:v>
      </x:c>
      <x:c r="F47" s="24" t="n">
        <x:f>AVERAGEIFS('Alle Resultate'!$O$2:$O$361,'Alle Resultate'!$A$2:$A$361,F$33,'Alle Resultate'!$B$2:$B$361,$B47,'Alle Resultate'!$C$2:$C$361,$A47)</x:f>
        <x:v>0.23296442313076304</x:v>
      </x:c>
      <x:c r="G47" s="24" t="n">
        <x:f>AVERAGEIFS('Alle Resultate'!$O$2:$O$361,'Alle Resultate'!$A$2:$A$361,G$33,'Alle Resultate'!$B$2:$B$361,$B47,'Alle Resultate'!$C$2:$C$361,$A47)</x:f>
        <x:v>0.2304038608943672</x:v>
      </x:c>
      <x:c r="H47" s="24" t="n">
        <x:f>AVERAGEIFS('Alle Resultate'!$O$2:$O$361,'Alle Resultate'!$A$2:$A$361,H$33,'Alle Resultate'!$B$2:$B$361,$B47,'Alle Resultate'!$C$2:$C$361,$A47)</x:f>
        <x:v>0.23612846477248098</x:v>
      </x:c>
      <x:c r="I47" s="24" t="n">
        <x:f>AVERAGEIFS('Alle Resultate'!$O$2:$O$361,'Alle Resultate'!$A$2:$A$361,I$33,'Alle Resultate'!$B$2:$B$361,$B47,'Alle Resultate'!$C$2:$C$361,$A47)</x:f>
        <x:v>0.23381605421534568</x:v>
      </x:c>
      <x:c r="J47" s="24" t="n">
        <x:f>AVERAGEIFS('Alle Resultate'!$O$2:$O$361,'Alle Resultate'!$A$2:$A$361,J$33,'Alle Resultate'!$B$2:$B$361,$B47,'Alle Resultate'!$C$2:$C$361,$A47)</x:f>
        <x:v>0.23238484948085544</x:v>
      </x:c>
      <x:c r="K47" s="24" t="n">
        <x:f>AVERAGEIFS('Alle Resultate'!$O$2:$O$361,'Alle Resultate'!$A$2:$A$361,K$33,'Alle Resultate'!$B$2:$B$361,$B47,'Alle Resultate'!$C$2:$C$361,$A47)</x:f>
        <x:v>0.23597777566614775</x:v>
      </x:c>
      <x:c r="L47" s="24" t="n">
        <x:f>AVERAGEIFS('Alle Resultate'!$O$2:$O$361,'Alle Resultate'!$A$2:$A$361,L$33,'Alle Resultate'!$B$2:$B$361,$B47,'Alle Resultate'!$C$2:$C$361,$A47)</x:f>
        <x:v>0.22885149092828416</x:v>
      </x:c>
      <x:c r="M47" s="24" t="n">
        <x:f>AVERAGEIFS('Alle Resultate'!$O$2:$O$361,'Alle Resultate'!$A$2:$A$361,M$33,'Alle Resultate'!$B$2:$B$361,$B47,'Alle Resultate'!$C$2:$C$361,$A47)</x:f>
        <x:v>0.22876531131815112</x:v>
      </x:c>
      <x:c r="N47" s="24" t="n">
        <x:f>AVERAGEIFS('Alle Resultate'!$O$2:$O$361,'Alle Resultate'!$A$2:$A$361,N$33,'Alle Resultate'!$B$2:$B$361,$B47,'Alle Resultate'!$C$2:$C$361,$A47)</x:f>
        <x:v>0.23131733110477332</x:v>
      </x:c>
      <x:c r="O47" s="24" t="n">
        <x:f>AVERAGEIFS('Alle Resultate'!$O$2:$O$361,'Alle Resultate'!$A$2:$A$361,O$33,'Alle Resultate'!$B$2:$B$361,$B47,'Alle Resultate'!$C$2:$C$361,$A47)</x:f>
        <x:v>0.23839917304151917</x:v>
      </x:c>
      <x:c r="P47" s="24" t="n">
        <x:f>AVERAGEIFS('Alle Resultate'!$O$2:$O$361,'Alle Resultate'!$A$2:$A$361,P$33,'Alle Resultate'!$B$2:$B$361,$B47,'Alle Resultate'!$C$2:$C$361,$A47)</x:f>
        <x:v>0.23921255881984022</x:v>
      </x:c>
      <x:c r="Q47" s="24" t="n">
        <x:f>AVERAGEIFS('Alle Resultate'!$O$2:$O$361,'Alle Resultate'!$A$2:$A$361,Q$33,'Alle Resultate'!$B$2:$B$361,$B47,'Alle Resultate'!$C$2:$C$361,$A47)</x:f>
        <x:v>0.23631671551012948</x:v>
      </x:c>
      <x:c r="R47" s="24" t="n">
        <x:f>AVERAGEIFS('Alle Resultate'!$O$2:$O$361,'Alle Resultate'!$A$2:$A$361,R$33,'Alle Resultate'!$B$2:$B$361,$B47,'Alle Resultate'!$C$2:$C$361,$A47)</x:f>
        <x:v>0.4140444882218317</x:v>
      </x:c>
      <x:c r="S47" s="24" t="n">
        <x:f>AVERAGEIFS('Alle Resultate'!$O$2:$O$361,'Alle Resultate'!$A$2:$A$361,S$33,'Alle Resultate'!$B$2:$B$361,$B47,'Alle Resultate'!$C$2:$C$361,$A47)</x:f>
        <x:v>0.4119762714884919</x:v>
      </x:c>
      <x:c r="T47" s="24" t="n">
        <x:f>AVERAGEIFS('Alle Resultate'!$O$2:$O$361,'Alle Resultate'!$A$2:$A$361,T$33,'Alle Resultate'!$B$2:$B$361,$B47,'Alle Resultate'!$C$2:$C$361,$A47)</x:f>
        <x:v>0.418419521034056</x:v>
      </x:c>
      <x:c r="U47" s="78" t="n">
        <x:f>MAX(C47:T47)</x:f>
        <x:v>0.418419521034056</x:v>
      </x:c>
      <x:c r="V47" s="79" t="str">
        <x:f>INDEX($C$33:$T$33,1,MATCH(U47,C47:T47,0))</x:f>
        <x:v>fir</x:v>
      </x:c>
    </x:row>
    <x:row r="48">
      <x:c r="A48" s="23" t="str">
        <x:v>mps</x:v>
      </x:c>
      <x:c r="B48" s="23" t="str">
        <x:v>msms_neg</x:v>
      </x:c>
      <x:c r="C48" s="24" t="n">
        <x:f>AVERAGEIFS('Alle Resultate'!$O$2:$O$361,'Alle Resultate'!$A$2:$A$361,C$33,'Alle Resultate'!$B$2:$B$361,$B48,'Alle Resultate'!$C$2:$C$361,$A48)</x:f>
        <x:v>0.22461835994527585</x:v>
      </x:c>
      <x:c r="D48" s="24" t="n">
        <x:f>AVERAGEIFS('Alle Resultate'!$O$2:$O$361,'Alle Resultate'!$A$2:$A$361,D$33,'Alle Resultate'!$B$2:$B$361,$B48,'Alle Resultate'!$C$2:$C$361,$A48)</x:f>
        <x:v>0.2334881334529933</x:v>
      </x:c>
      <x:c r="E48" s="24" t="n">
        <x:f>AVERAGEIFS('Alle Resultate'!$O$2:$O$361,'Alle Resultate'!$A$2:$A$361,E$33,'Alle Resultate'!$B$2:$B$361,$B48,'Alle Resultate'!$C$2:$C$361,$A48)</x:f>
        <x:v>0.2326116107012477</x:v>
      </x:c>
      <x:c r="F48" s="24" t="n">
        <x:f>AVERAGEIFS('Alle Resultate'!$O$2:$O$361,'Alle Resultate'!$A$2:$A$361,F$33,'Alle Resultate'!$B$2:$B$361,$B48,'Alle Resultate'!$C$2:$C$361,$A48)</x:f>
        <x:v>0.2326116107012477</x:v>
      </x:c>
      <x:c r="G48" s="24" t="n">
        <x:f>AVERAGEIFS('Alle Resultate'!$O$2:$O$361,'Alle Resultate'!$A$2:$A$361,G$33,'Alle Resultate'!$B$2:$B$361,$B48,'Alle Resultate'!$C$2:$C$361,$A48)</x:f>
        <x:v>0.22644871215946322</x:v>
      </x:c>
      <x:c r="H48" s="24" t="n">
        <x:f>AVERAGEIFS('Alle Resultate'!$O$2:$O$361,'Alle Resultate'!$A$2:$A$361,H$33,'Alle Resultate'!$B$2:$B$361,$B48,'Alle Resultate'!$C$2:$C$361,$A48)</x:f>
        <x:v>0.22906121800008425</x:v>
      </x:c>
      <x:c r="I48" s="24" t="n">
        <x:f>AVERAGEIFS('Alle Resultate'!$O$2:$O$361,'Alle Resultate'!$A$2:$A$361,I$33,'Alle Resultate'!$B$2:$B$361,$B48,'Alle Resultate'!$C$2:$C$361,$A48)</x:f>
        <x:v>0.2270625970688397</x:v>
      </x:c>
      <x:c r="J48" s="24" t="n">
        <x:f>AVERAGEIFS('Alle Resultate'!$O$2:$O$361,'Alle Resultate'!$A$2:$A$361,J$33,'Alle Resultate'!$B$2:$B$361,$B48,'Alle Resultate'!$C$2:$C$361,$A48)</x:f>
        <x:v>0.22698408168171927</x:v>
      </x:c>
      <x:c r="K48" s="24" t="n">
        <x:f>AVERAGEIFS('Alle Resultate'!$O$2:$O$361,'Alle Resultate'!$A$2:$A$361,K$33,'Alle Resultate'!$B$2:$B$361,$B48,'Alle Resultate'!$C$2:$C$361,$A48)</x:f>
        <x:v>0.2248927939607328</x:v>
      </x:c>
      <x:c r="L48" s="24" t="n">
        <x:f>AVERAGEIFS('Alle Resultate'!$O$2:$O$361,'Alle Resultate'!$A$2:$A$361,L$33,'Alle Resultate'!$B$2:$B$361,$B48,'Alle Resultate'!$C$2:$C$361,$A48)</x:f>
        <x:v>0.23170419781285578</x:v>
      </x:c>
      <x:c r="M48" s="24" t="n">
        <x:f>AVERAGEIFS('Alle Resultate'!$O$2:$O$361,'Alle Resultate'!$A$2:$A$361,M$33,'Alle Resultate'!$B$2:$B$361,$B48,'Alle Resultate'!$C$2:$C$361,$A48)</x:f>
        <x:v>0.22522633852730423</x:v>
      </x:c>
      <x:c r="N48" s="24" t="n">
        <x:f>AVERAGEIFS('Alle Resultate'!$O$2:$O$361,'Alle Resultate'!$A$2:$A$361,N$33,'Alle Resultate'!$B$2:$B$361,$B48,'Alle Resultate'!$C$2:$C$361,$A48)</x:f>
        <x:v>0.22278515700584184</x:v>
      </x:c>
      <x:c r="O48" s="24" t="n">
        <x:f>AVERAGEIFS('Alle Resultate'!$O$2:$O$361,'Alle Resultate'!$A$2:$A$361,O$33,'Alle Resultate'!$B$2:$B$361,$B48,'Alle Resultate'!$C$2:$C$361,$A48)</x:f>
        <x:v>0.2315757571603971</x:v>
      </x:c>
      <x:c r="P48" s="24" t="n">
        <x:f>AVERAGEIFS('Alle Resultate'!$O$2:$O$361,'Alle Resultate'!$A$2:$A$361,P$33,'Alle Resultate'!$B$2:$B$361,$B48,'Alle Resultate'!$C$2:$C$361,$A48)</x:f>
        <x:v>0.22794596163705866</x:v>
      </x:c>
      <x:c r="Q48" s="24" t="n">
        <x:f>AVERAGEIFS('Alle Resultate'!$O$2:$O$361,'Alle Resultate'!$A$2:$A$361,Q$33,'Alle Resultate'!$B$2:$B$361,$B48,'Alle Resultate'!$C$2:$C$361,$A48)</x:f>
        <x:v>0.22822544572427095</x:v>
      </x:c>
      <x:c r="R48" s="24" t="n">
        <x:f>AVERAGEIFS('Alle Resultate'!$O$2:$O$361,'Alle Resultate'!$A$2:$A$361,R$33,'Alle Resultate'!$B$2:$B$361,$B48,'Alle Resultate'!$C$2:$C$361,$A48)</x:f>
        <x:v>0.4317402489450563</x:v>
      </x:c>
      <x:c r="S48" s="24" t="n">
        <x:f>AVERAGEIFS('Alle Resultate'!$O$2:$O$361,'Alle Resultate'!$A$2:$A$361,S$33,'Alle Resultate'!$B$2:$B$361,$B48,'Alle Resultate'!$C$2:$C$361,$A48)</x:f>
        <x:v>0.42918193397991344</x:v>
      </x:c>
      <x:c r="T48" s="24" t="n">
        <x:f>AVERAGEIFS('Alle Resultate'!$O$2:$O$361,'Alle Resultate'!$A$2:$A$361,T$33,'Alle Resultate'!$B$2:$B$361,$B48,'Alle Resultate'!$C$2:$C$361,$A48)</x:f>
        <x:v>0.4427586125992098</x:v>
      </x:c>
      <x:c r="U48" s="78" t="n">
        <x:f>MAX(C48:T48)</x:f>
        <x:v>0.4427586125992098</x:v>
      </x:c>
      <x:c r="V48" s="79" t="str">
        <x:f>INDEX($C$33:$T$33,1,MATCH(U48,C48:T48,0))</x:f>
        <x:v>fir</x:v>
      </x:c>
    </x:row>
    <x:row r="49">
      <x:c r="A49" s="23" t="str">
        <x:v>ttn</x:v>
      </x:c>
      <x:c r="B49" s="23" t="str">
        <x:v>cnmr</x:v>
      </x:c>
      <x:c r="C49" s="24" t="n">
        <x:f>AVERAGEIFS('Alle Resultate'!$O$2:$O$361,'Alle Resultate'!$A$2:$A$361,C$33,'Alle Resultate'!$B$2:$B$361,$B49,'Alle Resultate'!$C$2:$C$361,$A49)</x:f>
        <x:v>0.5227792475472206</x:v>
      </x:c>
      <x:c r="D49" s="24" t="n">
        <x:f>AVERAGEIFS('Alle Resultate'!$O$2:$O$361,'Alle Resultate'!$A$2:$A$361,D$33,'Alle Resultate'!$B$2:$B$361,$B49,'Alle Resultate'!$C$2:$C$361,$A49)</x:f>
        <x:v>0.5207874412264879</x:v>
      </x:c>
      <x:c r="E49" s="24" t="n">
        <x:f>AVERAGEIFS('Alle Resultate'!$O$2:$O$361,'Alle Resultate'!$A$2:$A$361,E$33,'Alle Resultate'!$B$2:$B$361,$B49,'Alle Resultate'!$C$2:$C$361,$A49)</x:f>
        <x:v>0.5225342482552253</x:v>
      </x:c>
      <x:c r="F49" s="24" t="n">
        <x:f>AVERAGEIFS('Alle Resultate'!$O$2:$O$361,'Alle Resultate'!$A$2:$A$361,F$33,'Alle Resultate'!$B$2:$B$361,$B49,'Alle Resultate'!$C$2:$C$361,$A49)</x:f>
        <x:v>0.5225342482552253</x:v>
      </x:c>
      <x:c r="G49" s="24" t="n">
        <x:f>AVERAGEIFS('Alle Resultate'!$O$2:$O$361,'Alle Resultate'!$A$2:$A$361,G$33,'Alle Resultate'!$B$2:$B$361,$B49,'Alle Resultate'!$C$2:$C$361,$A49)</x:f>
        <x:v>0.5245324262992878</x:v>
      </x:c>
      <x:c r="H49" s="24" t="n">
        <x:f>AVERAGEIFS('Alle Resultate'!$O$2:$O$361,'Alle Resultate'!$A$2:$A$361,H$33,'Alle Resultate'!$B$2:$B$361,$B49,'Alle Resultate'!$C$2:$C$361,$A49)</x:f>
        <x:v>0.524159970369161</x:v>
      </x:c>
      <x:c r="I49" s="24" t="n">
        <x:f>AVERAGEIFS('Alle Resultate'!$O$2:$O$361,'Alle Resultate'!$A$2:$A$361,I$33,'Alle Resultate'!$B$2:$B$361,$B49,'Alle Resultate'!$C$2:$C$361,$A49)</x:f>
        <x:v>0.5237118294135343</x:v>
      </x:c>
      <x:c r="J49" s="24" t="n">
        <x:f>AVERAGEIFS('Alle Resultate'!$O$2:$O$361,'Alle Resultate'!$A$2:$A$361,J$33,'Alle Resultate'!$B$2:$B$361,$B49,'Alle Resultate'!$C$2:$C$361,$A49)</x:f>
        <x:v>0.5257518555976235</x:v>
      </x:c>
      <x:c r="K49" s="24" t="n">
        <x:f>AVERAGEIFS('Alle Resultate'!$O$2:$O$361,'Alle Resultate'!$A$2:$A$361,K$33,'Alle Resultate'!$B$2:$B$361,$B49,'Alle Resultate'!$C$2:$C$361,$A49)</x:f>
        <x:v>0.5202181668818524</x:v>
      </x:c>
      <x:c r="L49" s="24" t="n">
        <x:f>AVERAGEIFS('Alle Resultate'!$O$2:$O$361,'Alle Resultate'!$A$2:$A$361,L$33,'Alle Resultate'!$B$2:$B$361,$B49,'Alle Resultate'!$C$2:$C$361,$A49)</x:f>
        <x:v>0.5211848376890361</x:v>
      </x:c>
      <x:c r="M49" s="24" t="n">
        <x:f>AVERAGEIFS('Alle Resultate'!$O$2:$O$361,'Alle Resultate'!$A$2:$A$361,M$33,'Alle Resultate'!$B$2:$B$361,$B49,'Alle Resultate'!$C$2:$C$361,$A49)</x:f>
        <x:v>0.5234985748509504</x:v>
      </x:c>
      <x:c r="N49" s="24" t="n">
        <x:f>AVERAGEIFS('Alle Resultate'!$O$2:$O$361,'Alle Resultate'!$A$2:$A$361,N$33,'Alle Resultate'!$B$2:$B$361,$B49,'Alle Resultate'!$C$2:$C$361,$A49)</x:f>
        <x:v>0.5193757984994473</x:v>
      </x:c>
      <x:c r="O49" s="24" t="n">
        <x:f>AVERAGEIFS('Alle Resultate'!$O$2:$O$361,'Alle Resultate'!$A$2:$A$361,O$33,'Alle Resultate'!$B$2:$B$361,$B49,'Alle Resultate'!$C$2:$C$361,$A49)</x:f>
        <x:v>0.5514428786119918</x:v>
      </x:c>
      <x:c r="P49" s="24" t="n">
        <x:f>AVERAGEIFS('Alle Resultate'!$O$2:$O$361,'Alle Resultate'!$A$2:$A$361,P$33,'Alle Resultate'!$B$2:$B$361,$B49,'Alle Resultate'!$C$2:$C$361,$A49)</x:f>
        <x:v>0.52286550075147</x:v>
      </x:c>
      <x:c r="Q49" s="24" t="n">
        <x:f>AVERAGEIFS('Alle Resultate'!$O$2:$O$361,'Alle Resultate'!$A$2:$A$361,Q$33,'Alle Resultate'!$B$2:$B$361,$B49,'Alle Resultate'!$C$2:$C$361,$A49)</x:f>
        <x:v>0.5100369995135028</x:v>
      </x:c>
      <x:c r="R49" s="24" t="n">
        <x:f>AVERAGEIFS('Alle Resultate'!$O$2:$O$361,'Alle Resultate'!$A$2:$A$361,R$33,'Alle Resultate'!$B$2:$B$361,$B49,'Alle Resultate'!$C$2:$C$361,$A49)</x:f>
        <x:v>0.5665598197061333</x:v>
      </x:c>
      <x:c r="S49" s="24" t="n">
        <x:f>AVERAGEIFS('Alle Resultate'!$O$2:$O$361,'Alle Resultate'!$A$2:$A$361,S$33,'Alle Resultate'!$B$2:$B$361,$B49,'Alle Resultate'!$C$2:$C$361,$A49)</x:f>
        <x:v>0.5642538136823143</x:v>
      </x:c>
      <x:c r="T49" s="24" t="n">
        <x:f>AVERAGEIFS('Alle Resultate'!$O$2:$O$361,'Alle Resultate'!$A$2:$A$361,T$33,'Alle Resultate'!$B$2:$B$361,$B49,'Alle Resultate'!$C$2:$C$361,$A49)</x:f>
        <x:v>0.5708436978795199</x:v>
      </x:c>
      <x:c r="U49" s="78" t="n">
        <x:f>MAX(C49:T49)</x:f>
        <x:v>0.5708436978795199</x:v>
      </x:c>
      <x:c r="V49" s="79" t="str">
        <x:f>INDEX($C$33:$T$33,1,MATCH(U49,C49:T49,0))</x:f>
        <x:v>fir</x:v>
      </x:c>
    </x:row>
    <x:row r="50">
      <x:c r="A50" s="23" t="str">
        <x:v>ttn</x:v>
      </x:c>
      <x:c r="B50" s="23" t="str">
        <x:v>hnmr</x:v>
      </x:c>
      <x:c r="C50" s="24" t="n">
        <x:f>AVERAGEIFS('Alle Resultate'!$O$2:$O$361,'Alle Resultate'!$A$2:$A$361,C$33,'Alle Resultate'!$B$2:$B$361,$B50,'Alle Resultate'!$C$2:$C$361,$A50)</x:f>
        <x:v>0.4911451965508503</x:v>
      </x:c>
      <x:c r="D50" s="24" t="n">
        <x:f>AVERAGEIFS('Alle Resultate'!$O$2:$O$361,'Alle Resultate'!$A$2:$A$361,D$33,'Alle Resultate'!$B$2:$B$361,$B50,'Alle Resultate'!$C$2:$C$361,$A50)</x:f>
        <x:v>0.4968846634304216</x:v>
      </x:c>
      <x:c r="E50" s="24" t="n">
        <x:f>AVERAGEIFS('Alle Resultate'!$O$2:$O$361,'Alle Resultate'!$A$2:$A$361,E$33,'Alle Resultate'!$B$2:$B$361,$B50,'Alle Resultate'!$C$2:$C$361,$A50)</x:f>
        <x:v>0.4963919504487897</x:v>
      </x:c>
      <x:c r="F50" s="24" t="n">
        <x:f>AVERAGEIFS('Alle Resultate'!$O$2:$O$361,'Alle Resultate'!$A$2:$A$361,F$33,'Alle Resultate'!$B$2:$B$361,$B50,'Alle Resultate'!$C$2:$C$361,$A50)</x:f>
        <x:v>0.4963919504487897</x:v>
      </x:c>
      <x:c r="G50" s="24" t="n">
        <x:f>AVERAGEIFS('Alle Resultate'!$O$2:$O$361,'Alle Resultate'!$A$2:$A$361,G$33,'Alle Resultate'!$B$2:$B$361,$B50,'Alle Resultate'!$C$2:$C$361,$A50)</x:f>
        <x:v>0.49402366108086465</x:v>
      </x:c>
      <x:c r="H50" s="24" t="n">
        <x:f>AVERAGEIFS('Alle Resultate'!$O$2:$O$361,'Alle Resultate'!$A$2:$A$361,H$33,'Alle Resultate'!$B$2:$B$361,$B50,'Alle Resultate'!$C$2:$C$361,$A50)</x:f>
        <x:v>0.49400662976007614</x:v>
      </x:c>
      <x:c r="I50" s="24" t="n">
        <x:f>AVERAGEIFS('Alle Resultate'!$O$2:$O$361,'Alle Resultate'!$A$2:$A$361,I$33,'Alle Resultate'!$B$2:$B$361,$B50,'Alle Resultate'!$C$2:$C$361,$A50)</x:f>
        <x:v>0.48534801846697256</x:v>
      </x:c>
      <x:c r="J50" s="24" t="n">
        <x:f>AVERAGEIFS('Alle Resultate'!$O$2:$O$361,'Alle Resultate'!$A$2:$A$361,J$33,'Alle Resultate'!$B$2:$B$361,$B50,'Alle Resultate'!$C$2:$C$361,$A50)</x:f>
        <x:v>0.4939449075002901</x:v>
      </x:c>
      <x:c r="K50" s="24" t="n">
        <x:f>AVERAGEIFS('Alle Resultate'!$O$2:$O$361,'Alle Resultate'!$A$2:$A$361,K$33,'Alle Resultate'!$B$2:$B$361,$B50,'Alle Resultate'!$C$2:$C$361,$A50)</x:f>
        <x:v>0.48457762701136853</x:v>
      </x:c>
      <x:c r="L50" s="24" t="n">
        <x:f>AVERAGEIFS('Alle Resultate'!$O$2:$O$361,'Alle Resultate'!$A$2:$A$361,L$33,'Alle Resultate'!$B$2:$B$361,$B50,'Alle Resultate'!$C$2:$C$361,$A50)</x:f>
        <x:v>0.48319936928621426</x:v>
      </x:c>
      <x:c r="M50" s="24" t="n">
        <x:f>AVERAGEIFS('Alle Resultate'!$O$2:$O$361,'Alle Resultate'!$A$2:$A$361,M$33,'Alle Resultate'!$B$2:$B$361,$B50,'Alle Resultate'!$C$2:$C$361,$A50)</x:f>
        <x:v>0.48657095289766894</x:v>
      </x:c>
      <x:c r="N50" s="24" t="n">
        <x:f>AVERAGEIFS('Alle Resultate'!$O$2:$O$361,'Alle Resultate'!$A$2:$A$361,N$33,'Alle Resultate'!$B$2:$B$361,$B50,'Alle Resultate'!$C$2:$C$361,$A50)</x:f>
        <x:v>0.4904038364395832</x:v>
      </x:c>
      <x:c r="O50" s="24" t="n">
        <x:f>AVERAGEIFS('Alle Resultate'!$O$2:$O$361,'Alle Resultate'!$A$2:$A$361,O$33,'Alle Resultate'!$B$2:$B$361,$B50,'Alle Resultate'!$C$2:$C$361,$A50)</x:f>
        <x:v>0.5187376603709448</x:v>
      </x:c>
      <x:c r="P50" s="24" t="n">
        <x:f>AVERAGEIFS('Alle Resultate'!$O$2:$O$361,'Alle Resultate'!$A$2:$A$361,P$33,'Alle Resultate'!$B$2:$B$361,$B50,'Alle Resultate'!$C$2:$C$361,$A50)</x:f>
        <x:v>0.48904135865914866</x:v>
      </x:c>
      <x:c r="Q50" s="24" t="n">
        <x:f>AVERAGEIFS('Alle Resultate'!$O$2:$O$361,'Alle Resultate'!$A$2:$A$361,Q$33,'Alle Resultate'!$B$2:$B$361,$B50,'Alle Resultate'!$C$2:$C$361,$A50)</x:f>
        <x:v>0.48076867745574786</x:v>
      </x:c>
      <x:c r="R50" s="24" t="n">
        <x:f>AVERAGEIFS('Alle Resultate'!$O$2:$O$361,'Alle Resultate'!$A$2:$A$361,R$33,'Alle Resultate'!$B$2:$B$361,$B50,'Alle Resultate'!$C$2:$C$361,$A50)</x:f>
        <x:v>0.5319232272661161</x:v>
      </x:c>
      <x:c r="S50" s="24" t="n">
        <x:f>AVERAGEIFS('Alle Resultate'!$O$2:$O$361,'Alle Resultate'!$A$2:$A$361,S$33,'Alle Resultate'!$B$2:$B$361,$B50,'Alle Resultate'!$C$2:$C$361,$A50)</x:f>
        <x:v>0.529353678071586</x:v>
      </x:c>
      <x:c r="T50" s="24" t="n">
        <x:f>AVERAGEIFS('Alle Resultate'!$O$2:$O$361,'Alle Resultate'!$A$2:$A$361,T$33,'Alle Resultate'!$B$2:$B$361,$B50,'Alle Resultate'!$C$2:$C$361,$A50)</x:f>
        <x:v>0.5212590639702304</x:v>
      </x:c>
      <x:c r="U50" s="78" t="n">
        <x:f>MAX(C50:T50)</x:f>
        <x:v>0.5319232272661161</x:v>
      </x:c>
      <x:c r="V50" s="79" t="str">
        <x:f>INDEX($C$33:$T$33,1,MATCH(U50,C50:T50,0))</x:f>
        <x:v>bin_mean</x:v>
      </x:c>
    </x:row>
    <x:row r="51">
      <x:c r="A51" s="23" t="str">
        <x:v>ttn</x:v>
      </x:c>
      <x:c r="B51" s="23" t="str">
        <x:v>ir</x:v>
      </x:c>
      <x:c r="C51" s="24" t="n">
        <x:f>AVERAGEIFS('Alle Resultate'!$O$2:$O$361,'Alle Resultate'!$A$2:$A$361,C$33,'Alle Resultate'!$B$2:$B$361,$B51,'Alle Resultate'!$C$2:$C$361,$A51)</x:f>
        <x:v>0.7086065125715235</x:v>
      </x:c>
      <x:c r="D51" s="24" t="n">
        <x:f>AVERAGEIFS('Alle Resultate'!$O$2:$O$361,'Alle Resultate'!$A$2:$A$361,D$33,'Alle Resultate'!$B$2:$B$361,$B51,'Alle Resultate'!$C$2:$C$361,$A51)</x:f>
        <x:v>0.7070321678378975</x:v>
      </x:c>
      <x:c r="E51" s="24" t="n">
        <x:f>AVERAGEIFS('Alle Resultate'!$O$2:$O$361,'Alle Resultate'!$A$2:$A$361,E$33,'Alle Resultate'!$B$2:$B$361,$B51,'Alle Resultate'!$C$2:$C$361,$A51)</x:f>
        <x:v>0.6917829934833839</x:v>
      </x:c>
      <x:c r="F51" s="24" t="n">
        <x:f>AVERAGEIFS('Alle Resultate'!$O$2:$O$361,'Alle Resultate'!$A$2:$A$361,F$33,'Alle Resultate'!$B$2:$B$361,$B51,'Alle Resultate'!$C$2:$C$361,$A51)</x:f>
        <x:v>0.7136965524215344</x:v>
      </x:c>
      <x:c r="G51" s="24" t="n">
        <x:f>AVERAGEIFS('Alle Resultate'!$O$2:$O$361,'Alle Resultate'!$A$2:$A$361,G$33,'Alle Resultate'!$B$2:$B$361,$B51,'Alle Resultate'!$C$2:$C$361,$A51)</x:f>
        <x:v>0.7054086167605143</x:v>
      </x:c>
      <x:c r="H51" s="24" t="n">
        <x:f>AVERAGEIFS('Alle Resultate'!$O$2:$O$361,'Alle Resultate'!$A$2:$A$361,H$33,'Alle Resultate'!$B$2:$B$361,$B51,'Alle Resultate'!$C$2:$C$361,$A51)</x:f>
        <x:v>0.7066112969358365</x:v>
      </x:c>
      <x:c r="I51" s="24" t="n">
        <x:f>AVERAGEIFS('Alle Resultate'!$O$2:$O$361,'Alle Resultate'!$A$2:$A$361,I$33,'Alle Resultate'!$B$2:$B$361,$B51,'Alle Resultate'!$C$2:$C$361,$A51)</x:f>
        <x:v>0.7061848235379367</x:v>
      </x:c>
      <x:c r="J51" s="24" t="n">
        <x:f>AVERAGEIFS('Alle Resultate'!$O$2:$O$361,'Alle Resultate'!$A$2:$A$361,J$33,'Alle Resultate'!$B$2:$B$361,$B51,'Alle Resultate'!$C$2:$C$361,$A51)</x:f>
        <x:v>0.7161117154586207</x:v>
      </x:c>
      <x:c r="K51" s="24" t="n">
        <x:f>AVERAGEIFS('Alle Resultate'!$O$2:$O$361,'Alle Resultate'!$A$2:$A$361,K$33,'Alle Resultate'!$B$2:$B$361,$B51,'Alle Resultate'!$C$2:$C$361,$A51)</x:f>
        <x:v>0.7201013322763875</x:v>
      </x:c>
      <x:c r="L51" s="24" t="n">
        <x:f>AVERAGEIFS('Alle Resultate'!$O$2:$O$361,'Alle Resultate'!$A$2:$A$361,L$33,'Alle Resultate'!$B$2:$B$361,$B51,'Alle Resultate'!$C$2:$C$361,$A51)</x:f>
        <x:v>0.7128214658145414</x:v>
      </x:c>
      <x:c r="M51" s="24" t="n">
        <x:f>AVERAGEIFS('Alle Resultate'!$O$2:$O$361,'Alle Resultate'!$A$2:$A$361,M$33,'Alle Resultate'!$B$2:$B$361,$B51,'Alle Resultate'!$C$2:$C$361,$A51)</x:f>
        <x:v>0.7022184262397565</x:v>
      </x:c>
      <x:c r="N51" s="24" t="n">
        <x:f>AVERAGEIFS('Alle Resultate'!$O$2:$O$361,'Alle Resultate'!$A$2:$A$361,N$33,'Alle Resultate'!$B$2:$B$361,$B51,'Alle Resultate'!$C$2:$C$361,$A51)</x:f>
        <x:v>0.7040802585301464</x:v>
      </x:c>
      <x:c r="O51" s="24" t="n">
        <x:f>AVERAGEIFS('Alle Resultate'!$O$2:$O$361,'Alle Resultate'!$A$2:$A$361,O$33,'Alle Resultate'!$B$2:$B$361,$B51,'Alle Resultate'!$C$2:$C$361,$A51)</x:f>
        <x:v>0.7171085097937022</x:v>
      </x:c>
      <x:c r="P51" s="24" t="n">
        <x:f>AVERAGEIFS('Alle Resultate'!$O$2:$O$361,'Alle Resultate'!$A$2:$A$361,P$33,'Alle Resultate'!$B$2:$B$361,$B51,'Alle Resultate'!$C$2:$C$361,$A51)</x:f>
        <x:v>0.7097357512997887</x:v>
      </x:c>
      <x:c r="Q51" s="24" t="n">
        <x:f>AVERAGEIFS('Alle Resultate'!$O$2:$O$361,'Alle Resultate'!$A$2:$A$361,Q$33,'Alle Resultate'!$B$2:$B$361,$B51,'Alle Resultate'!$C$2:$C$361,$A51)</x:f>
        <x:v>0.6835337117137958</x:v>
      </x:c>
      <x:c r="R51" s="24" t="n">
        <x:f>AVERAGEIFS('Alle Resultate'!$O$2:$O$361,'Alle Resultate'!$A$2:$A$361,R$33,'Alle Resultate'!$B$2:$B$361,$B51,'Alle Resultate'!$C$2:$C$361,$A51)</x:f>
        <x:v>0.7280720591867433</x:v>
      </x:c>
      <x:c r="S51" s="24" t="n">
        <x:f>AVERAGEIFS('Alle Resultate'!$O$2:$O$361,'Alle Resultate'!$A$2:$A$361,S$33,'Alle Resultate'!$B$2:$B$361,$B51,'Alle Resultate'!$C$2:$C$361,$A51)</x:f>
        <x:v>0.702736218011911</x:v>
      </x:c>
      <x:c r="T51" s="24" t="n">
        <x:f>AVERAGEIFS('Alle Resultate'!$O$2:$O$361,'Alle Resultate'!$A$2:$A$361,T$33,'Alle Resultate'!$B$2:$B$361,$B51,'Alle Resultate'!$C$2:$C$361,$A51)</x:f>
        <x:v>0.7487529310252903</x:v>
      </x:c>
      <x:c r="U51" s="78" t="n">
        <x:f>MAX(C51:T51)</x:f>
        <x:v>0.7487529310252903</x:v>
      </x:c>
      <x:c r="V51" s="79" t="str">
        <x:f>INDEX($C$33:$T$33,1,MATCH(U51,C51:T51,0))</x:f>
        <x:v>fir</x:v>
      </x:c>
    </x:row>
    <x:row r="52">
      <x:c r="A52" s="23" t="str">
        <x:v>ttn</x:v>
      </x:c>
      <x:c r="B52" s="23" t="str">
        <x:v>msms_pos</x:v>
      </x:c>
      <x:c r="C52" s="24" t="n">
        <x:f>AVERAGEIFS('Alle Resultate'!$O$2:$O$361,'Alle Resultate'!$A$2:$A$361,C$33,'Alle Resultate'!$B$2:$B$361,$B52,'Alle Resultate'!$C$2:$C$361,$A52)</x:f>
        <x:v>0.3996776028081106</x:v>
      </x:c>
      <x:c r="D52" s="24" t="n">
        <x:f>AVERAGEIFS('Alle Resultate'!$O$2:$O$361,'Alle Resultate'!$A$2:$A$361,D$33,'Alle Resultate'!$B$2:$B$361,$B52,'Alle Resultate'!$C$2:$C$361,$A52)</x:f>
        <x:v>0.393993556112494</x:v>
      </x:c>
      <x:c r="E52" s="24" t="n">
        <x:f>AVERAGEIFS('Alle Resultate'!$O$2:$O$361,'Alle Resultate'!$A$2:$A$361,E$33,'Alle Resultate'!$B$2:$B$361,$B52,'Alle Resultate'!$C$2:$C$361,$A52)</x:f>
        <x:v>0.39652992477979476</x:v>
      </x:c>
      <x:c r="F52" s="24" t="n">
        <x:f>AVERAGEIFS('Alle Resultate'!$O$2:$O$361,'Alle Resultate'!$A$2:$A$361,F$33,'Alle Resultate'!$B$2:$B$361,$B52,'Alle Resultate'!$C$2:$C$361,$A52)</x:f>
        <x:v>0.39652992477979476</x:v>
      </x:c>
      <x:c r="G52" s="24" t="n">
        <x:f>AVERAGEIFS('Alle Resultate'!$O$2:$O$361,'Alle Resultate'!$A$2:$A$361,G$33,'Alle Resultate'!$B$2:$B$361,$B52,'Alle Resultate'!$C$2:$C$361,$A52)</x:f>
        <x:v>0.3964186174051522</x:v>
      </x:c>
      <x:c r="H52" s="24" t="n">
        <x:f>AVERAGEIFS('Alle Resultate'!$O$2:$O$361,'Alle Resultate'!$A$2:$A$361,H$33,'Alle Resultate'!$B$2:$B$361,$B52,'Alle Resultate'!$C$2:$C$361,$A52)</x:f>
        <x:v>0.3912915996300972</x:v>
      </x:c>
      <x:c r="I52" s="24" t="n">
        <x:f>AVERAGEIFS('Alle Resultate'!$O$2:$O$361,'Alle Resultate'!$A$2:$A$361,I$33,'Alle Resultate'!$B$2:$B$361,$B52,'Alle Resultate'!$C$2:$C$361,$A52)</x:f>
        <x:v>0.3966761205190021</x:v>
      </x:c>
      <x:c r="J52" s="24" t="n">
        <x:f>AVERAGEIFS('Alle Resultate'!$O$2:$O$361,'Alle Resultate'!$A$2:$A$361,J$33,'Alle Resultate'!$B$2:$B$361,$B52,'Alle Resultate'!$C$2:$C$361,$A52)</x:f>
        <x:v>0.39527534736154124</x:v>
      </x:c>
      <x:c r="K52" s="24" t="n">
        <x:f>AVERAGEIFS('Alle Resultate'!$O$2:$O$361,'Alle Resultate'!$A$2:$A$361,K$33,'Alle Resultate'!$B$2:$B$361,$B52,'Alle Resultate'!$C$2:$C$361,$A52)</x:f>
        <x:v>0.40076081741971725</x:v>
      </x:c>
      <x:c r="L52" s="24" t="n">
        <x:f>AVERAGEIFS('Alle Resultate'!$O$2:$O$361,'Alle Resultate'!$A$2:$A$361,L$33,'Alle Resultate'!$B$2:$B$361,$B52,'Alle Resultate'!$C$2:$C$361,$A52)</x:f>
        <x:v>0.39174401142861004</x:v>
      </x:c>
      <x:c r="M52" s="24" t="n">
        <x:f>AVERAGEIFS('Alle Resultate'!$O$2:$O$361,'Alle Resultate'!$A$2:$A$361,M$33,'Alle Resultate'!$B$2:$B$361,$B52,'Alle Resultate'!$C$2:$C$361,$A52)</x:f>
        <x:v>0.3961059486289608</x:v>
      </x:c>
      <x:c r="N52" s="24" t="n">
        <x:f>AVERAGEIFS('Alle Resultate'!$O$2:$O$361,'Alle Resultate'!$A$2:$A$361,N$33,'Alle Resultate'!$B$2:$B$361,$B52,'Alle Resultate'!$C$2:$C$361,$A52)</x:f>
        <x:v>0.39248546475830026</x:v>
      </x:c>
      <x:c r="O52" s="24" t="n">
        <x:f>AVERAGEIFS('Alle Resultate'!$O$2:$O$361,'Alle Resultate'!$A$2:$A$361,O$33,'Alle Resultate'!$B$2:$B$361,$B52,'Alle Resultate'!$C$2:$C$361,$A52)</x:f>
        <x:v>0.3981722628112329</x:v>
      </x:c>
      <x:c r="P52" s="24" t="n">
        <x:f>AVERAGEIFS('Alle Resultate'!$O$2:$O$361,'Alle Resultate'!$A$2:$A$361,P$33,'Alle Resultate'!$B$2:$B$361,$B52,'Alle Resultate'!$C$2:$C$361,$A52)</x:f>
        <x:v>0.39907297325514507</x:v>
      </x:c>
      <x:c r="Q52" s="24" t="n">
        <x:f>AVERAGEIFS('Alle Resultate'!$O$2:$O$361,'Alle Resultate'!$A$2:$A$361,Q$33,'Alle Resultate'!$B$2:$B$361,$B52,'Alle Resultate'!$C$2:$C$361,$A52)</x:f>
        <x:v>0.3991615987801142</x:v>
      </x:c>
      <x:c r="R52" s="24" t="n">
        <x:f>AVERAGEIFS('Alle Resultate'!$O$2:$O$361,'Alle Resultate'!$A$2:$A$361,R$33,'Alle Resultate'!$B$2:$B$361,$B52,'Alle Resultate'!$C$2:$C$361,$A52)</x:f>
        <x:v>0.46769808117742595</x:v>
      </x:c>
      <x:c r="S52" s="24" t="n">
        <x:f>AVERAGEIFS('Alle Resultate'!$O$2:$O$361,'Alle Resultate'!$A$2:$A$361,S$33,'Alle Resultate'!$B$2:$B$361,$B52,'Alle Resultate'!$C$2:$C$361,$A52)</x:f>
        <x:v>0.4617670186648851</x:v>
      </x:c>
      <x:c r="T52" s="24" t="n">
        <x:f>AVERAGEIFS('Alle Resultate'!$O$2:$O$361,'Alle Resultate'!$A$2:$A$361,T$33,'Alle Resultate'!$B$2:$B$361,$B52,'Alle Resultate'!$C$2:$C$361,$A52)</x:f>
        <x:v>0.4637045033910441</x:v>
      </x:c>
      <x:c r="U52" s="78" t="n">
        <x:f>MAX(C52:T52)</x:f>
        <x:v>0.46769808117742595</x:v>
      </x:c>
      <x:c r="V52" s="79" t="str">
        <x:f>INDEX($C$33:$T$33,1,MATCH(U52,C52:T52,0))</x:f>
        <x:v>bin_mean</x:v>
      </x:c>
    </x:row>
    <x:row r="53">
      <x:c r="A53" s="63" t="str">
        <x:v>ttn</x:v>
      </x:c>
      <x:c r="B53" s="63" t="str">
        <x:v>msms_neg</x:v>
      </x:c>
      <x:c r="C53" s="64" t="n">
        <x:f>AVERAGEIFS('Alle Resultate'!$O$2:$O$361,'Alle Resultate'!$A$2:$A$361,C$33,'Alle Resultate'!$B$2:$B$361,$B53,'Alle Resultate'!$C$2:$C$361,$A53)</x:f>
        <x:v>0.3955545458274722</x:v>
      </x:c>
      <x:c r="D53" s="64" t="n">
        <x:f>AVERAGEIFS('Alle Resultate'!$O$2:$O$361,'Alle Resultate'!$A$2:$A$361,D$33,'Alle Resultate'!$B$2:$B$361,$B53,'Alle Resultate'!$C$2:$C$361,$A53)</x:f>
        <x:v>0.39646702921813026</x:v>
      </x:c>
      <x:c r="E53" s="64" t="n">
        <x:f>AVERAGEIFS('Alle Resultate'!$O$2:$O$361,'Alle Resultate'!$A$2:$A$361,E$33,'Alle Resultate'!$B$2:$B$361,$B53,'Alle Resultate'!$C$2:$C$361,$A53)</x:f>
        <x:v>0.39554218845311023</x:v>
      </x:c>
      <x:c r="F53" s="64" t="n">
        <x:f>AVERAGEIFS('Alle Resultate'!$O$2:$O$361,'Alle Resultate'!$A$2:$A$361,F$33,'Alle Resultate'!$B$2:$B$361,$B53,'Alle Resultate'!$C$2:$C$361,$A53)</x:f>
        <x:v>0.39554218845311023</x:v>
      </x:c>
      <x:c r="G53" s="64" t="n">
        <x:f>AVERAGEIFS('Alle Resultate'!$O$2:$O$361,'Alle Resultate'!$A$2:$A$361,G$33,'Alle Resultate'!$B$2:$B$361,$B53,'Alle Resultate'!$C$2:$C$361,$A53)</x:f>
        <x:v>0.3959646492572106</x:v>
      </x:c>
      <x:c r="H53" s="64" t="n">
        <x:f>AVERAGEIFS('Alle Resultate'!$O$2:$O$361,'Alle Resultate'!$A$2:$A$361,H$33,'Alle Resultate'!$B$2:$B$361,$B53,'Alle Resultate'!$C$2:$C$361,$A53)</x:f>
        <x:v>0.39513147090385287</x:v>
      </x:c>
      <x:c r="I53" s="64" t="n">
        <x:f>AVERAGEIFS('Alle Resultate'!$O$2:$O$361,'Alle Resultate'!$A$2:$A$361,I$33,'Alle Resultate'!$B$2:$B$361,$B53,'Alle Resultate'!$C$2:$C$361,$A53)</x:f>
        <x:v>0.3948438810575615</x:v>
      </x:c>
      <x:c r="J53" s="64" t="n">
        <x:f>AVERAGEIFS('Alle Resultate'!$O$2:$O$361,'Alle Resultate'!$A$2:$A$361,J$33,'Alle Resultate'!$B$2:$B$361,$B53,'Alle Resultate'!$C$2:$C$361,$A53)</x:f>
        <x:v>0.394562905160975</x:v>
      </x:c>
      <x:c r="K53" s="64" t="n">
        <x:f>AVERAGEIFS('Alle Resultate'!$O$2:$O$361,'Alle Resultate'!$A$2:$A$361,K$33,'Alle Resultate'!$B$2:$B$361,$B53,'Alle Resultate'!$C$2:$C$361,$A53)</x:f>
        <x:v>0.39534406430441127</x:v>
      </x:c>
      <x:c r="L53" s="64" t="n">
        <x:f>AVERAGEIFS('Alle Resultate'!$O$2:$O$361,'Alle Resultate'!$A$2:$A$361,L$33,'Alle Resultate'!$B$2:$B$361,$B53,'Alle Resultate'!$C$2:$C$361,$A53)</x:f>
        <x:v>0.39663761376390677</x:v>
      </x:c>
      <x:c r="M53" s="64" t="n">
        <x:f>AVERAGEIFS('Alle Resultate'!$O$2:$O$361,'Alle Resultate'!$A$2:$A$361,M$33,'Alle Resultate'!$B$2:$B$361,$B53,'Alle Resultate'!$C$2:$C$361,$A53)</x:f>
        <x:v>0.39587291465487917</x:v>
      </x:c>
      <x:c r="N53" s="64" t="n">
        <x:f>AVERAGEIFS('Alle Resultate'!$O$2:$O$361,'Alle Resultate'!$A$2:$A$361,N$33,'Alle Resultate'!$B$2:$B$361,$B53,'Alle Resultate'!$C$2:$C$361,$A53)</x:f>
        <x:v>0.3956698318381975</x:v>
      </x:c>
      <x:c r="O53" s="64" t="n">
        <x:f>AVERAGEIFS('Alle Resultate'!$O$2:$O$361,'Alle Resultate'!$A$2:$A$361,O$33,'Alle Resultate'!$B$2:$B$361,$B53,'Alle Resultate'!$C$2:$C$361,$A53)</x:f>
        <x:v>0.39746520704732524</x:v>
      </x:c>
      <x:c r="P53" s="64" t="n">
        <x:f>AVERAGEIFS('Alle Resultate'!$O$2:$O$361,'Alle Resultate'!$A$2:$A$361,P$33,'Alle Resultate'!$B$2:$B$361,$B53,'Alle Resultate'!$C$2:$C$361,$A53)</x:f>
        <x:v>0.3960076553848205</x:v>
      </x:c>
      <x:c r="Q53" s="64" t="n">
        <x:f>AVERAGEIFS('Alle Resultate'!$O$2:$O$361,'Alle Resultate'!$A$2:$A$361,Q$33,'Alle Resultate'!$B$2:$B$361,$B53,'Alle Resultate'!$C$2:$C$361,$A53)</x:f>
        <x:v>0.39729141073915875</x:v>
      </x:c>
      <x:c r="R53" s="64" t="n">
        <x:f>AVERAGEIFS('Alle Resultate'!$O$2:$O$361,'Alle Resultate'!$A$2:$A$361,R$33,'Alle Resultate'!$B$2:$B$361,$B53,'Alle Resultate'!$C$2:$C$361,$A53)</x:f>
        <x:v>0.5065264413327238</x:v>
      </x:c>
      <x:c r="S53" s="64" t="n">
        <x:f>AVERAGEIFS('Alle Resultate'!$O$2:$O$361,'Alle Resultate'!$A$2:$A$361,S$33,'Alle Resultate'!$B$2:$B$361,$B53,'Alle Resultate'!$C$2:$C$361,$A53)</x:f>
        <x:v>0.5000118246695276</x:v>
      </x:c>
      <x:c r="T53" s="64" t="n">
        <x:f>AVERAGEIFS('Alle Resultate'!$O$2:$O$361,'Alle Resultate'!$A$2:$A$361,T$33,'Alle Resultate'!$B$2:$B$361,$B53,'Alle Resultate'!$C$2:$C$361,$A53)</x:f>
        <x:v>0.5055307190638079</x:v>
      </x:c>
      <x:c r="U53" s="80" t="n">
        <x:f>MAX(C53:T53)</x:f>
        <x:v>0.5065264413327238</x:v>
      </x:c>
      <x:c r="V53" s="81" t="str">
        <x:f>INDEX($C$33:$T$33,1,MATCH(U53,C53:T53,0))</x:f>
        <x:v>bin_mean</x:v>
      </x:c>
    </x:row>
  </x:sheetData>
  <x:conditionalFormatting sqref="C9:T28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C34:T53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0" hidden="0" customWidth="1"/>
    <x:col min="2" max="2" width="9.4399995803833" hidden="0" customWidth="1"/>
    <x:col min="3" max="3" width="8.329999923706055" hidden="0" customWidth="1"/>
    <x:col min="4" max="4" width="7.329999923706055" hidden="0" customWidth="1"/>
    <x:col min="5" max="5" width="6.440000057220459" hidden="0" customWidth="1"/>
    <x:col min="6" max="6" width="10.329999923706055" hidden="0" customWidth="1"/>
    <x:col min="7" max="7" width="24" hidden="0" customWidth="1"/>
  </x:cols>
  <x:sheetData>
    <x:row r="2">
      <x:c r="A2" s="55" t="str">
        <x:v>Run-Status und Datenabdeckung</x:v>
      </x:c>
      <x:c r="B2" s="23"/>
      <x:c r="C2" s="23"/>
      <x:c r="D2" s="23"/>
      <x:c r="E2" s="23"/>
      <x:c r="F2" s="23"/>
      <x:c r="G2" s="23"/>
      <x:c r="H2" s="23"/>
    </x:row>
    <x:row r="3">
      <x:c r="A3" s="56" t="str">
        <x:v>Stand 2026-10-26 · alle 18 Parameter vollständig</x:v>
      </x:c>
      <x:c r="B3" s="56"/>
      <x:c r="C3" s="56"/>
      <x:c r="D3" s="56"/>
      <x:c r="E3" s="56"/>
      <x:c r="F3" s="56"/>
      <x:c r="G3" s="56"/>
      <x:c r="H3" s="56"/>
    </x:row>
    <x:row r="4">
      <x:c r="A4" s="57"/>
      <x:c r="B4" s="57"/>
      <x:c r="C4" s="57"/>
      <x:c r="D4" s="57"/>
      <x:c r="E4" s="57"/>
      <x:c r="F4" s="57"/>
      <x:c r="G4" s="57"/>
      <x:c r="H4" s="57"/>
    </x:row>
    <x:row r="5">
      <x:c r="A5" s="23"/>
      <x:c r="B5" s="23"/>
      <x:c r="C5" s="23"/>
      <x:c r="D5" s="23"/>
      <x:c r="E5" s="23"/>
      <x:c r="F5" s="23"/>
      <x:c r="G5" s="23"/>
      <x:c r="H5" s="23"/>
    </x:row>
    <x:row r="6">
      <x:c r="A6" s="17" t="str">
        <x:v>Preprocessing</x:v>
      </x:c>
      <x:c r="B6" s="18" t="str">
        <x:v>Resultate</x:v>
      </x:c>
      <x:c r="C6" s="18" t="str">
        <x:v>Status</x:v>
      </x:c>
      <x:c r="D6" s="18" t="str">
        <x:v>Job-ID</x:v>
      </x:c>
      <x:c r="E6" s="18" t="str">
        <x:v>Node</x:v>
      </x:c>
      <x:c r="F6" s="18" t="str">
        <x:v>SLURM</x:v>
      </x:c>
      <x:c r="G6" s="19" t="str">
        <x:v>Grund</x:v>
      </x:c>
      <x:c r="H6" s="23"/>
    </x:row>
    <x:row r="7">
      <x:c r="A7" s="59" t="str">
        <x:v>none</x:v>
      </x:c>
      <x:c r="B7" s="59" t="n">
        <x:v>20</x:v>
      </x:c>
      <x:c r="C7" s="59" t="str">
        <x:v>vollständig</x:v>
      </x:c>
      <x:c r="D7" s="59"/>
      <x:c r="E7" s="59"/>
      <x:c r="F7" s="59" t="str">
        <x:v>COMPLETED</x:v>
      </x:c>
      <x:c r="G7" s="59"/>
      <x:c r="H7" s="23"/>
    </x:row>
    <x:row r="8">
      <x:c r="A8" s="59" t="str">
        <x:v>snv</x:v>
      </x:c>
      <x:c r="B8" s="59" t="n">
        <x:v>20</x:v>
      </x:c>
      <x:c r="C8" s="59" t="str">
        <x:v>vollständig</x:v>
      </x:c>
      <x:c r="D8" s="59"/>
      <x:c r="E8" s="59"/>
      <x:c r="F8" s="59" t="str">
        <x:v>COMPLETED</x:v>
      </x:c>
      <x:c r="G8" s="59"/>
      <x:c r="H8" s="23"/>
    </x:row>
    <x:row r="9">
      <x:c r="A9" s="59" t="str">
        <x:v>minmax</x:v>
      </x:c>
      <x:c r="B9" s="59" t="n">
        <x:v>20</x:v>
      </x:c>
      <x:c r="C9" s="59" t="str">
        <x:v>vollständig</x:v>
      </x:c>
      <x:c r="D9" s="59"/>
      <x:c r="E9" s="59"/>
      <x:c r="F9" s="59" t="str">
        <x:v>COMPLETED</x:v>
      </x:c>
      <x:c r="G9" s="59"/>
      <x:c r="H9" s="23"/>
    </x:row>
    <x:row r="10">
      <x:c r="A10" s="59" t="str">
        <x:v>max</x:v>
      </x:c>
      <x:c r="B10" s="59" t="n">
        <x:v>20</x:v>
      </x:c>
      <x:c r="C10" s="59" t="str">
        <x:v>vollständig</x:v>
      </x:c>
      <x:c r="D10" s="59"/>
      <x:c r="E10" s="59"/>
      <x:c r="F10" s="59" t="str">
        <x:v>COMPLETED</x:v>
      </x:c>
      <x:c r="G10" s="59"/>
      <x:c r="H10" s="23"/>
    </x:row>
    <x:row r="11">
      <x:c r="A11" s="59" t="str">
        <x:v>area</x:v>
      </x:c>
      <x:c r="B11" s="59" t="n">
        <x:v>20</x:v>
      </x:c>
      <x:c r="C11" s="59" t="str">
        <x:v>vollständig</x:v>
      </x:c>
      <x:c r="D11" s="59"/>
      <x:c r="E11" s="59"/>
      <x:c r="F11" s="59" t="str">
        <x:v>COMPLETED</x:v>
      </x:c>
      <x:c r="G11" s="59"/>
      <x:c r="H11" s="23"/>
    </x:row>
    <x:row r="12">
      <x:c r="A12" s="59" t="str">
        <x:v>l2</x:v>
      </x:c>
      <x:c r="B12" s="59" t="n">
        <x:v>20</x:v>
      </x:c>
      <x:c r="C12" s="59" t="str">
        <x:v>vollständig</x:v>
      </x:c>
      <x:c r="D12" s="59"/>
      <x:c r="E12" s="59"/>
      <x:c r="F12" s="59" t="str">
        <x:v>COMPLETED</x:v>
      </x:c>
      <x:c r="G12" s="59"/>
      <x:c r="H12" s="23"/>
    </x:row>
    <x:row r="13">
      <x:c r="A13" s="59" t="str">
        <x:v>savgol</x:v>
      </x:c>
      <x:c r="B13" s="59" t="n">
        <x:v>20</x:v>
      </x:c>
      <x:c r="C13" s="59" t="str">
        <x:v>vollständig</x:v>
      </x:c>
      <x:c r="D13" s="59"/>
      <x:c r="E13" s="59"/>
      <x:c r="F13" s="59" t="str">
        <x:v>COMPLETED</x:v>
      </x:c>
      <x:c r="G13" s="59"/>
      <x:c r="H13" s="23"/>
    </x:row>
    <x:row r="14">
      <x:c r="A14" s="59" t="str">
        <x:v>gaussian</x:v>
      </x:c>
      <x:c r="B14" s="59" t="n">
        <x:v>20</x:v>
      </x:c>
      <x:c r="C14" s="59" t="str">
        <x:v>vollständig</x:v>
      </x:c>
      <x:c r="D14" s="59"/>
      <x:c r="E14" s="59"/>
      <x:c r="F14" s="59" t="str">
        <x:v>COMPLETED</x:v>
      </x:c>
      <x:c r="G14" s="59"/>
      <x:c r="H14" s="23"/>
    </x:row>
    <x:row r="15">
      <x:c r="A15" s="59" t="str">
        <x:v>quantile</x:v>
      </x:c>
      <x:c r="B15" s="59" t="n">
        <x:v>20</x:v>
      </x:c>
      <x:c r="C15" s="59" t="str">
        <x:v>vollständig</x:v>
      </x:c>
      <x:c r="D15" s="59" t="n">
        <x:v>155951</x:v>
      </x:c>
      <x:c r="E15" s="59" t="str">
        <x:v>fresko</x:v>
      </x:c>
      <x:c r="F15" s="59" t="str">
        <x:v>COMPLETED</x:v>
      </x:c>
      <x:c r="G15" s="59"/>
      <x:c r="H15" s="23"/>
    </x:row>
    <x:row r="16">
      <x:c r="A16" s="59" t="str">
        <x:v>pqn</x:v>
      </x:c>
      <x:c r="B16" s="59" t="n">
        <x:v>20</x:v>
      </x:c>
      <x:c r="C16" s="59" t="str">
        <x:v>vollständig</x:v>
      </x:c>
      <x:c r="D16" s="59" t="n">
        <x:v>155952</x:v>
      </x:c>
      <x:c r="E16" s="59" t="str">
        <x:v>fresko</x:v>
      </x:c>
      <x:c r="F16" s="59" t="str">
        <x:v>COMPLETED</x:v>
      </x:c>
      <x:c r="G16" s="59"/>
      <x:c r="H16" s="23"/>
    </x:row>
    <x:row r="17">
      <x:c r="A17" s="59" t="str">
        <x:v>moving_average</x:v>
      </x:c>
      <x:c r="B17" s="59" t="n">
        <x:v>20</x:v>
      </x:c>
      <x:c r="C17" s="59" t="str">
        <x:v>vollständig</x:v>
      </x:c>
      <x:c r="D17" s="59" t="n">
        <x:v>155965</x:v>
      </x:c>
      <x:c r="E17" s="59" t="str">
        <x:v>sanjose</x:v>
      </x:c>
      <x:c r="F17" s="59" t="str">
        <x:v>COMPLETED</x:v>
      </x:c>
      <x:c r="G17" s="59"/>
      <x:c r="H17" s="23"/>
    </x:row>
    <x:row r="18">
      <x:c r="A18" s="59" t="str">
        <x:v>lorentz</x:v>
      </x:c>
      <x:c r="B18" s="59" t="n">
        <x:v>20</x:v>
      </x:c>
      <x:c r="C18" s="59" t="str">
        <x:v>vollständig</x:v>
      </x:c>
      <x:c r="D18" s="59" t="n">
        <x:v>156254</x:v>
      </x:c>
      <x:c r="E18" s="59" t="str">
        <x:v>sanjose</x:v>
      </x:c>
      <x:c r="F18" s="59" t="str">
        <x:v>COMPLETED</x:v>
      </x:c>
      <x:c r="G18" s="59"/>
      <x:c r="H18" s="23"/>
    </x:row>
    <x:row r="19">
      <x:c r="A19" s="59" t="str">
        <x:v>sqrt</x:v>
      </x:c>
      <x:c r="B19" s="59" t="n">
        <x:v>20</x:v>
      </x:c>
      <x:c r="C19" s="59" t="str">
        <x:v>vollständig</x:v>
      </x:c>
      <x:c r="D19" s="59" t="n">
        <x:v>156259</x:v>
      </x:c>
      <x:c r="E19" s="59" t="str">
        <x:v>sanjose</x:v>
      </x:c>
      <x:c r="F19" s="59" t="str">
        <x:v>COMPLETED</x:v>
      </x:c>
      <x:c r="G19" s="59"/>
      <x:c r="H19" s="23"/>
    </x:row>
    <x:row r="20">
      <x:c r="A20" s="59" t="str">
        <x:v>log1p</x:v>
      </x:c>
      <x:c r="B20" s="59" t="n">
        <x:v>20</x:v>
      </x:c>
      <x:c r="C20" s="59" t="str">
        <x:v>vollständig</x:v>
      </x:c>
      <x:c r="D20" s="59" t="n">
        <x:v>156260</x:v>
      </x:c>
      <x:c r="E20" s="59" t="str">
        <x:v>sanjose</x:v>
      </x:c>
      <x:c r="F20" s="59" t="str">
        <x:v>COMPLETED</x:v>
      </x:c>
      <x:c r="G20" s="59"/>
      <x:c r="H20" s="23"/>
    </x:row>
    <x:row r="21">
      <x:c r="A21" s="59" t="str">
        <x:v>derivative</x:v>
      </x:c>
      <x:c r="B21" s="59" t="n">
        <x:v>20</x:v>
      </x:c>
      <x:c r="C21" s="59" t="str">
        <x:v>vollständig</x:v>
      </x:c>
      <x:c r="D21" s="59" t="n">
        <x:v>156261</x:v>
      </x:c>
      <x:c r="E21" s="59" t="str">
        <x:v>sanjose</x:v>
      </x:c>
      <x:c r="F21" s="59" t="str">
        <x:v>COMPLETED</x:v>
      </x:c>
      <x:c r="G21" s="59"/>
      <x:c r="H21" s="23"/>
    </x:row>
    <x:row r="22">
      <x:c r="A22" s="59" t="str">
        <x:v>bin_mean</x:v>
      </x:c>
      <x:c r="B22" s="59" t="n">
        <x:v>20</x:v>
      </x:c>
      <x:c r="C22" s="59" t="str">
        <x:v>vollständig</x:v>
      </x:c>
      <x:c r="D22" s="59" t="n">
        <x:v>156262</x:v>
      </x:c>
      <x:c r="E22" s="59" t="str">
        <x:v>sanjose</x:v>
      </x:c>
      <x:c r="F22" s="59" t="str">
        <x:v>COMPLETED</x:v>
      </x:c>
      <x:c r="G22" s="59"/>
      <x:c r="H22" s="23"/>
    </x:row>
    <x:row r="23">
      <x:c r="A23" s="59" t="str">
        <x:v>bin_max</x:v>
      </x:c>
      <x:c r="B23" s="59" t="n">
        <x:v>20</x:v>
      </x:c>
      <x:c r="C23" s="59" t="str">
        <x:v>vollständig</x:v>
      </x:c>
      <x:c r="D23" s="59" t="n">
        <x:v>156263</x:v>
      </x:c>
      <x:c r="E23" s="59" t="str">
        <x:v>sanjose</x:v>
      </x:c>
      <x:c r="F23" s="59" t="str">
        <x:v>COMPLETED</x:v>
      </x:c>
      <x:c r="G23" s="59"/>
      <x:c r="H23" s="23"/>
    </x:row>
    <x:row r="24">
      <x:c r="A24" s="59" t="str">
        <x:v>fir</x:v>
      </x:c>
      <x:c r="B24" s="59" t="n">
        <x:v>20</x:v>
      </x:c>
      <x:c r="C24" s="59" t="str">
        <x:v>vollständig</x:v>
      </x:c>
      <x:c r="D24" s="59" t="n">
        <x:v>156264</x:v>
      </x:c>
      <x:c r="E24" s="59" t="str">
        <x:v>sanjose</x:v>
      </x:c>
      <x:c r="F24" s="59" t="str">
        <x:v>COMPLETED</x:v>
      </x:c>
      <x:c r="G24" s="59"/>
      <x:c r="H24" s="23"/>
    </x:row>
  </x:sheetData>
  <x:pageMargins left="0.7" right="0.7" top="0.75" bottom="0.75" header="0.3" footer="0.3"/>
  <x:tableParts count="1">
    <x:tablePart xmlns:r="http://schemas.openxmlformats.org/officeDocument/2006/relationships" r:id="R3c05960d480948c5"/>
  </x:tableParts>
</x:worksheet>
</file>

<file path=xl/worksheets/sheet5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27" hidden="0" customWidth="1"/>
    <x:col min="2" max="2" width="105" hidden="0" customWidth="1"/>
  </x:cols>
  <x:sheetData>
    <x:row r="2">
      <x:c r="A2" s="55" t="str">
        <x:v>Methodik und Quellen</x:v>
      </x:c>
      <x:c r="B2" s="23"/>
      <x:c r="C2" s="23"/>
      <x:c r="D2" s="23"/>
      <x:c r="E2" s="23"/>
      <x:c r="F2" s="23"/>
    </x:row>
    <x:row r="3">
      <x:c r="A3" s="56" t="str">
        <x:v>Wie die Kennzahlen aus den gespeicherten Trainer-Ausgaben gelesen wurden</x:v>
      </x:c>
      <x:c r="B3" s="56"/>
      <x:c r="C3" s="56"/>
      <x:c r="D3" s="56"/>
      <x:c r="E3" s="56"/>
      <x:c r="F3" s="56"/>
    </x:row>
    <x:row r="4">
      <x:c r="A4" s="57"/>
      <x:c r="B4" s="57"/>
      <x:c r="C4" s="57"/>
      <x:c r="D4" s="57"/>
      <x:c r="E4" s="57"/>
      <x:c r="F4" s="57"/>
    </x:row>
    <x:row r="5">
      <x:c r="A5" s="23"/>
      <x:c r="B5" s="23"/>
      <x:c r="C5" s="23"/>
      <x:c r="D5" s="23"/>
      <x:c r="E5" s="23"/>
      <x:c r="F5" s="23"/>
    </x:row>
    <x:row r="6">
      <x:c r="A6" s="17" t="str">
        <x:v>Thema</x:v>
      </x:c>
      <x:c r="B6" s="19" t="str">
        <x:v>Definition / Quelle</x:v>
      </x:c>
      <x:c r="C6" s="23"/>
      <x:c r="D6" s="23"/>
      <x:c r="E6" s="23"/>
      <x:c r="F6" s="23"/>
    </x:row>
    <x:row r="7" ht="32" customHeight="1">
      <x:c r="A7" s="55" t="str">
        <x:v>Auswertungsumfang</x:v>
      </x:c>
      <x:c r="B7" s="89" t="str">
        <x:v>18 vollständig abgeschlossene Preprocessing-Parameter; je 4 ML-Modelle × 5 Spektren = 20 Resultate, insgesamt 360.</x:v>
      </x:c>
      <x:c r="C7" s="23"/>
      <x:c r="D7" s="23"/>
      <x:c r="E7" s="23"/>
      <x:c r="F7" s="23"/>
    </x:row>
    <x:row r="8" ht="32" customHeight="1">
      <x:c r="A8" s="55" t="str">
        <x:v>Validation F1 – CNN/XGBoost</x:v>
      </x:c>
      <x:c r="B8" s="89" t="str">
        <x:v>training_logs.csv, Zeile event=training_finished.</x:v>
      </x:c>
      <x:c r="C8" s="23"/>
      <x:c r="D8" s="23"/>
      <x:c r="E8" s="23"/>
      <x:c r="F8" s="23"/>
    </x:row>
    <x:row r="9" ht="32" customHeight="1">
      <x:c r="A9" s="55" t="str">
        <x:v>Validation F1 – MPS</x:v>
      </x:c>
      <x:c r="B9" s="89" t="str">
        <x:v>summary.txt, Abschnitt Best Fold Checkpoint.</x:v>
      </x:c>
      <x:c r="C9" s="23"/>
      <x:c r="D9" s="23"/>
      <x:c r="E9" s="23"/>
      <x:c r="F9" s="23"/>
    </x:row>
    <x:row r="10" ht="32" customHeight="1">
      <x:c r="A10" s="55" t="str">
        <x:v>Validation F1 – TTN</x:v>
      </x:c>
      <x:c r="B10" s="89" t="str">
        <x:v>training_log.csv in der in summary.txt angegebenen Best epoch.</x:v>
      </x:c>
      <x:c r="C10" s="23"/>
      <x:c r="D10" s="23"/>
      <x:c r="E10" s="23"/>
      <x:c r="F10" s="23"/>
    </x:row>
    <x:row r="11" ht="32" customHeight="1">
      <x:c r="A11" s="55" t="str">
        <x:v>Test F1</x:v>
      </x:c>
      <x:c r="B11" s="89" t="str">
        <x:v>metrics.json; Micro und Macro sind die gespeicherten Abschlusswerte.</x:v>
      </x:c>
      <x:c r="C11" s="23"/>
      <x:c r="D11" s="23"/>
      <x:c r="E11" s="23"/>
      <x:c r="F11" s="23"/>
    </x:row>
    <x:row r="12" ht="32" customHeight="1">
      <x:c r="A12" s="55" t="str">
        <x:v>F1 blend</x:v>
      </x:c>
      <x:c r="B12" s="89" t="str">
        <x:v>Arithmetischer Mittelwert aus F1 micro und F1 macro; dient nur zur kompakten Rangierung.</x:v>
      </x:c>
      <x:c r="C12" s="23"/>
      <x:c r="D12" s="23"/>
      <x:c r="E12" s="23"/>
      <x:c r="F12" s="23"/>
    </x:row>
    <x:row r="13" ht="32" customHeight="1">
      <x:c r="A13" s="55" t="str">
        <x:v>Loss / Zusatzmetriken</x:v>
      </x:c>
      <x:c r="B13" s="89" t="str">
        <x:v>Nur eingetragen, wenn der jeweilige Trainer sie in CSV/summary.txt gespeichert hat. Leer bedeutet nicht gespeichert, nicht 0.</x:v>
      </x:c>
      <x:c r="C13" s="23"/>
      <x:c r="D13" s="23"/>
      <x:c r="E13" s="23"/>
      <x:c r="F13" s="23"/>
    </x:row>
    <x:row r="14" ht="32" customHeight="1">
      <x:c r="A14" s="55" t="str">
        <x:v>Best Epoch – CNN</x:v>
      </x:c>
      <x:c r="B14" s="89" t="str">
        <x:v>Log-Epoche mit höchstem Mittel aus Val F1 micro und Val F1 macro; die angezeigten Val-F1-Abschlusswerte stammen trotzdem aus training_finished.</x:v>
      </x:c>
      <x:c r="C14" s="23"/>
      <x:c r="D14" s="23"/>
      <x:c r="E14" s="23"/>
      <x:c r="F14" s="23"/>
    </x:row>
    <x:row r="15" ht="32" customHeight="1">
      <x:c r="A15" s="55" t="str">
        <x:v>Remote-Quelle</x:v>
      </x:c>
      <x:c r="B15" s="89" t="str">
        <x:v>/cluster/home/xkye/spectroscopy-qml-xkye-verdiant/benchmark/preprocessing_training/dim_600/&lt;parameter&gt;/</x:v>
      </x:c>
      <x:c r="C15" s="23"/>
      <x:c r="D15" s="23"/>
      <x:c r="E15" s="23"/>
      <x:c r="F15" s="23"/>
    </x:row>
    <x:row r="16" ht="32" customHeight="1">
      <x:c r="A16" s="90" t="str">
        <x:v>Reproduzierbarkeit</x:v>
      </x:c>
      <x:c r="B16" s="91" t="str">
        <x:v>Input-Dimension 600, Seed 41; Spektren cnmr, hnmr, ir, msms_pos, msms_neg; Modelle cnn, xgboost, mps, ttn.</x:v>
      </x:c>
      <x:c r="C16" s="23"/>
      <x:c r="D16" s="23"/>
      <x:c r="E16" s="23"/>
      <x:c r="F16" s="23"/>
    </x:row>
  </x:sheetData>
  <x:pageMargins left="0.7" right="0.7" top="0.75" bottom="0.75" header="0.3" footer="0.3"/>
</x:worksheet>
</file>